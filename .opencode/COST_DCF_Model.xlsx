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"/>
    <numFmt numFmtId="167" formatCode="0.0000"/>
    <numFmt numFmtId="168" formatCode="0x"/>
  </numFmts>
  <fonts count="1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9"/>
    </font>
    <font>
      <name val="&lt;openpyxl.styles.fills.PatternFill object&gt;&#10;Parameters:&#10;patternType='solid', fgColor=&lt;openpyxl.styles.colors.Color object&gt;&#10;Parameters:&#10;rgb='001F4E79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sz val="10"/>
    </font>
    <font>
      <name val="Calibri"/>
      <color rgb="000000FF"/>
      <sz val="10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sz val="9"/>
    </font>
    <font>
      <name val="Calibri"/>
      <color rgb="00000000"/>
      <sz val="10"/>
    </font>
    <font>
      <name val="Calibri"/>
      <b val="1"/>
      <sz val="12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b val="1"/>
      <sz val="11"/>
    </font>
    <font>
      <name val="Calibri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E4B6D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10">
    <border>
      <left/>
      <right/>
      <top/>
      <bottom/>
      <diagonal/>
    </border>
    <border>
      <left style="thin">
        <color rgb="00AAAAAA"/>
      </left>
      <top style="thin">
        <color rgb="00AAAAAA"/>
      </top>
    </border>
    <border>
      <right style="thin">
        <color rgb="00AAAAAA"/>
      </right>
      <top style="thin">
        <color rgb="00AAAAAA"/>
      </top>
    </border>
    <border>
      <left style="thin">
        <color rgb="00AAAAAA"/>
      </left>
    </border>
    <border>
      <right style="thin">
        <color rgb="00AAAAAA"/>
      </right>
    </border>
    <border>
      <left style="thin">
        <color rgb="00AAAAAA"/>
      </left>
      <bottom style="thin">
        <color rgb="00AAAAAA"/>
      </bottom>
    </border>
    <border>
      <right style="thin">
        <color rgb="00AAAAAA"/>
      </right>
      <bottom style="thin">
        <color rgb="00AAAAAA"/>
      </bottom>
    </border>
    <border>
      <top style="thin">
        <color rgb="00AAAAAA"/>
      </top>
    </border>
    <border/>
    <border>
      <bottom style="thin">
        <color rgb="00AAAAAA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3" pivotButton="0" quotePrefix="0" xfId="0"/>
    <xf numFmtId="164" fontId="5" fillId="2" borderId="4" applyAlignment="1" pivotButton="0" quotePrefix="0" xfId="0">
      <alignment horizontal="center"/>
    </xf>
    <xf numFmtId="4" fontId="5" fillId="2" borderId="4" applyAlignment="1" pivotButton="0" quotePrefix="0" xfId="0">
      <alignment horizontal="center"/>
    </xf>
    <xf numFmtId="3" fontId="8" fillId="2" borderId="4" applyAlignment="1" pivotButton="0" quotePrefix="0" xfId="0">
      <alignment horizontal="center"/>
    </xf>
    <xf numFmtId="3" fontId="5" fillId="2" borderId="4" applyAlignment="1" pivotButton="0" quotePrefix="0" xfId="0">
      <alignment horizontal="center"/>
    </xf>
    <xf numFmtId="2" fontId="5" fillId="2" borderId="4" applyAlignment="1" pivotButton="0" quotePrefix="0" xfId="0">
      <alignment horizontal="center"/>
    </xf>
    <xf numFmtId="165" fontId="5" fillId="2" borderId="4" applyAlignment="1" pivotButton="0" quotePrefix="0" xfId="0">
      <alignment horizontal="center"/>
    </xf>
    <xf numFmtId="165" fontId="8" fillId="2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9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11" fillId="0" borderId="0" pivotButton="0" quotePrefix="0" xfId="0"/>
    <xf numFmtId="165" fontId="11" fillId="2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applyAlignment="1" pivotButton="0" quotePrefix="0" xfId="0">
      <alignment horizontal="center"/>
    </xf>
    <xf numFmtId="0" fontId="0" fillId="0" borderId="7" pivotButton="0" quotePrefix="0" xfId="0"/>
    <xf numFmtId="0" fontId="10" fillId="4" borderId="3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8" fillId="2" borderId="3" pivotButton="0" quotePrefix="0" xfId="0"/>
    <xf numFmtId="3" fontId="11" fillId="5" borderId="8" applyAlignment="1" pivotButton="0" quotePrefix="0" xfId="0">
      <alignment horizontal="center"/>
    </xf>
    <xf numFmtId="3" fontId="11" fillId="2" borderId="8" applyAlignment="1" pivotButton="0" quotePrefix="0" xfId="0">
      <alignment horizontal="center"/>
    </xf>
    <xf numFmtId="0" fontId="8" fillId="5" borderId="3" pivotButton="0" quotePrefix="0" xfId="0"/>
    <xf numFmtId="165" fontId="11" fillId="5" borderId="8" applyAlignment="1" pivotButton="0" quotePrefix="0" xfId="0">
      <alignment horizontal="center"/>
    </xf>
    <xf numFmtId="165" fontId="11" fillId="2" borderId="8" applyAlignment="1" pivotButton="0" quotePrefix="0" xfId="0">
      <alignment horizontal="center"/>
    </xf>
    <xf numFmtId="0" fontId="8" fillId="6" borderId="5" pivotButton="0" quotePrefix="0" xfId="0"/>
    <xf numFmtId="3" fontId="8" fillId="6" borderId="9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8" fillId="0" borderId="3" pivotButton="0" quotePrefix="0" xfId="0"/>
    <xf numFmtId="3" fontId="11" fillId="5" borderId="4" applyAlignment="1" pivotButton="0" quotePrefix="0" xfId="0">
      <alignment horizontal="center"/>
    </xf>
    <xf numFmtId="3" fontId="11" fillId="5" borderId="0" applyAlignment="1" pivotButton="0" quotePrefix="0" xfId="0">
      <alignment horizontal="center"/>
    </xf>
    <xf numFmtId="3" fontId="11" fillId="6" borderId="0" pivotButton="0" quotePrefix="0" xfId="0"/>
    <xf numFmtId="0" fontId="11" fillId="5" borderId="3" pivotButton="0" quotePrefix="0" xfId="0"/>
    <xf numFmtId="166" fontId="11" fillId="5" borderId="4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7" fontId="11" fillId="5" borderId="4" applyAlignment="1" pivotButton="0" quotePrefix="0" xfId="0">
      <alignment horizontal="center"/>
    </xf>
    <xf numFmtId="167" fontId="11" fillId="5" borderId="0" applyAlignment="1" pivotButton="0" quotePrefix="0" xfId="0">
      <alignment horizontal="center"/>
    </xf>
    <xf numFmtId="3" fontId="8" fillId="6" borderId="4" applyAlignment="1" pivotButton="0" quotePrefix="0" xfId="0">
      <alignment horizontal="center"/>
    </xf>
    <xf numFmtId="3" fontId="11" fillId="6" borderId="4" applyAlignment="1" pivotButton="0" quotePrefix="0" xfId="0">
      <alignment horizontal="center"/>
    </xf>
    <xf numFmtId="0" fontId="11" fillId="0" borderId="3" pivotButton="0" quotePrefix="0" xfId="0"/>
    <xf numFmtId="3" fontId="11" fillId="2" borderId="4" applyAlignment="1" pivotButton="0" quotePrefix="0" xfId="0">
      <alignment horizontal="center"/>
    </xf>
    <xf numFmtId="4" fontId="11" fillId="2" borderId="4" applyAlignment="1" pivotButton="0" quotePrefix="0" xfId="0">
      <alignment horizontal="center"/>
    </xf>
    <xf numFmtId="0" fontId="12" fillId="0" borderId="3" pivotButton="0" quotePrefix="0" xfId="0"/>
    <xf numFmtId="164" fontId="13" fillId="6" borderId="4" applyAlignment="1" pivotButton="0" quotePrefix="0" xfId="0">
      <alignment horizontal="center"/>
    </xf>
    <xf numFmtId="164" fontId="11" fillId="2" borderId="4" applyAlignment="1" pivotButton="0" quotePrefix="0" xfId="0">
      <alignment horizontal="center"/>
    </xf>
    <xf numFmtId="0" fontId="8" fillId="0" borderId="5" pivotButton="0" quotePrefix="0" xfId="0"/>
    <xf numFmtId="165" fontId="8" fillId="6" borderId="6" applyAlignment="1" pivotButton="0" quotePrefix="0" xfId="0">
      <alignment horizontal="center"/>
    </xf>
    <xf numFmtId="0" fontId="0" fillId="0" borderId="1" pivotButton="0" quotePrefix="0" xfId="0"/>
    <xf numFmtId="0" fontId="14" fillId="0" borderId="7" applyAlignment="1" pivotButton="0" quotePrefix="0" xfId="0">
      <alignment horizontal="center"/>
    </xf>
    <xf numFmtId="165" fontId="10" fillId="4" borderId="8" applyAlignment="1" pivotButton="0" quotePrefix="0" xfId="0">
      <alignment horizontal="center"/>
    </xf>
    <xf numFmtId="165" fontId="10" fillId="4" borderId="4" applyAlignment="1" pivotButton="0" quotePrefix="0" xfId="0">
      <alignment horizontal="center"/>
    </xf>
    <xf numFmtId="10" fontId="10" fillId="4" borderId="3" applyAlignment="1" pivotButton="0" quotePrefix="0" xfId="0">
      <alignment horizontal="center"/>
    </xf>
    <xf numFmtId="164" fontId="11" fillId="0" borderId="8" applyAlignment="1" pivotButton="0" quotePrefix="0" xfId="0">
      <alignment horizontal="center"/>
    </xf>
    <xf numFmtId="164" fontId="11" fillId="0" borderId="4" applyAlignment="1" pivotButton="0" quotePrefix="0" xfId="0">
      <alignment horizontal="center"/>
    </xf>
    <xf numFmtId="10" fontId="10" fillId="4" borderId="5" applyAlignment="1" pivotButton="0" quotePrefix="0" xfId="0">
      <alignment horizontal="center"/>
    </xf>
    <xf numFmtId="164" fontId="11" fillId="0" borderId="9" applyAlignment="1" pivotButton="0" quotePrefix="0" xfId="0">
      <alignment horizontal="center"/>
    </xf>
    <xf numFmtId="164" fontId="11" fillId="0" borderId="6" applyAlignment="1" pivotButton="0" quotePrefix="0" xfId="0">
      <alignment horizontal="center"/>
    </xf>
    <xf numFmtId="168" fontId="10" fillId="4" borderId="8" applyAlignment="1" pivotButton="0" quotePrefix="0" xfId="0">
      <alignment horizontal="center"/>
    </xf>
    <xf numFmtId="168" fontId="10" fillId="4" borderId="4" applyAlignment="1" pivotButton="0" quotePrefix="0" xfId="0">
      <alignment horizontal="center"/>
    </xf>
    <xf numFmtId="0" fontId="15" fillId="0" borderId="0" pivotButton="0" quotePrefix="0" xfId="0"/>
    <xf numFmtId="0" fontId="2" fillId="0" borderId="3" applyAlignment="1" pivotButton="0" quotePrefix="0" xfId="0">
      <alignment horizontal="center"/>
    </xf>
    <xf numFmtId="0" fontId="0" fillId="0" borderId="8" pivotButton="0" quotePrefix="0" xfId="0"/>
    <xf numFmtId="0" fontId="4" fillId="4" borderId="8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165" fontId="5" fillId="2" borderId="8" applyAlignment="1" pivotButton="0" quotePrefix="0" xfId="0">
      <alignment horizontal="center"/>
    </xf>
    <xf numFmtId="0" fontId="2" fillId="0" borderId="8" pivotButton="0" quotePrefix="0" xfId="0"/>
    <xf numFmtId="2" fontId="5" fillId="2" borderId="8" applyAlignment="1" pivotButton="0" quotePrefix="0" xfId="0">
      <alignment horizontal="center"/>
    </xf>
    <xf numFmtId="0" fontId="16" fillId="0" borderId="5" pivotButton="0" quotePrefix="0" xfId="0"/>
    <xf numFmtId="165" fontId="14" fillId="6" borderId="9" applyAlignment="1" pivotButton="0" quotePrefix="0" xfId="0">
      <alignment horizontal="center"/>
    </xf>
    <xf numFmtId="0" fontId="6" fillId="0" borderId="9" pivotButton="0" quotePrefix="0" xfId="0"/>
    <xf numFmtId="0" fontId="0" fillId="0" borderId="9" pivotButton="0" quotePrefix="0" xfId="0"/>
    <xf numFmtId="164" fontId="17" fillId="0" borderId="8" applyAlignment="1" pivotButton="0" quotePrefix="0" xfId="0">
      <alignment horizontal="center"/>
    </xf>
    <xf numFmtId="4" fontId="17" fillId="0" borderId="8" applyAlignment="1" pivotButton="0" quotePrefix="0" xfId="0">
      <alignment horizontal="center"/>
    </xf>
    <xf numFmtId="3" fontId="5" fillId="2" borderId="8" applyAlignment="1" pivotButton="0" quotePrefix="0" xfId="0">
      <alignment horizontal="center"/>
    </xf>
    <xf numFmtId="0" fontId="11" fillId="0" borderId="5" pivotButton="0" quotePrefix="0" xfId="0"/>
    <xf numFmtId="3" fontId="11" fillId="5" borderId="9" applyAlignment="1" pivotButton="0" quotePrefix="0" xfId="0">
      <alignment horizontal="center"/>
    </xf>
    <xf numFmtId="10" fontId="11" fillId="5" borderId="8" applyAlignment="1" pivotButton="0" quotePrefix="0" xfId="0">
      <alignment horizontal="center"/>
    </xf>
    <xf numFmtId="0" fontId="12" fillId="0" borderId="5" pivotButton="0" quotePrefix="0" xfId="0"/>
    <xf numFmtId="10" fontId="13" fillId="6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</author>
  </authors>
  <commentList>
    <comment ref="B9" authorId="0" shapeId="0">
      <text>
        <t>Source: FactSet/Morningstar 2026-05-20 close</t>
      </text>
    </comment>
    <comment ref="B10" authorId="0" shapeId="0">
      <text>
        <t>Source: 10-K FY2024 (443.65M diluted)</t>
      </text>
    </comment>
    <comment ref="B11" authorId="0" shapeId="0">
      <text>
        <t>Source: Calculated</t>
      </text>
    </comment>
    <comment ref="B12" authorId="0" shapeId="0">
      <text>
        <t>Source: 10-K FY2024 — $11.1B</t>
      </text>
    </comment>
    <comment ref="B13" authorId="0" shapeId="0">
      <text>
        <t>Source: 10-K FY2024 — Senior Notes + leases ~$10B</t>
      </text>
    </comment>
    <comment ref="B14" authorId="0" shapeId="0">
      <text>
        <t>Source: Calculated</t>
      </text>
    </comment>
    <comment ref="B15" authorId="0" shapeId="0">
      <text>
        <t>Source: Investing.com / Yahoo Finance</t>
      </text>
    </comment>
    <comment ref="B16" authorId="0" shapeId="0">
      <text>
        <t>Source: DDG Web Search — 10Y Treasury ~4.30%</t>
      </text>
    </comment>
    <comment ref="B17" authorId="0" shapeId="0">
      <text>
        <t>Source: Historical standard 5.5%</t>
      </text>
    </comment>
    <comment ref="B18" authorId="0" shapeId="0">
      <text>
        <t>Source: =RFR + Beta×ERP = 9.31%</t>
      </text>
    </comment>
    <comment ref="B19" authorId="0" shapeId="0">
      <text>
        <t>Source: Morningstar moat report (Dec 2025); net-cash 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1" t="inlineStr">
        <is>
          <t>Costco Wholesale Corporation (COST) — DCF Valuation Model</t>
        </is>
      </c>
    </row>
    <row r="2" ht="14" customHeight="1">
      <c r="A2" s="2" t="inlineStr">
        <is>
          <t>Date: May 22, 2026  |  Year End: September  |  Source: Company Filings, FactSet, Morningstar</t>
        </is>
      </c>
    </row>
    <row r="3" ht="8" customHeight="1"/>
    <row r="4" ht="20" customHeight="1">
      <c r="A4" s="3" t="inlineStr">
        <is>
          <t>CASE SELECTOR</t>
        </is>
      </c>
    </row>
    <row r="5" ht="18" customHeight="1">
      <c r="A5" s="4" t="inlineStr">
        <is>
          <t>Selected Case (1=Bear  2=Base  3=Bull):</t>
        </is>
      </c>
      <c r="B5" s="5" t="n">
        <v>2</v>
      </c>
      <c r="C5" s="6" t="inlineStr">
        <is>
          <t>Base Case</t>
        </is>
      </c>
    </row>
    <row r="6" ht="6" customHeight="1"/>
    <row r="7" ht="20" customHeight="1">
      <c r="A7" s="7" t="inlineStr">
        <is>
          <t>MARKET DATA &amp; KEY INPUTS</t>
        </is>
      </c>
      <c r="B7" s="8" t="n"/>
    </row>
    <row r="8">
      <c r="A8" s="9" t="n"/>
      <c r="B8" s="10" t="n"/>
    </row>
    <row r="9" ht="17" customHeight="1">
      <c r="A9" s="11" t="inlineStr">
        <is>
          <t>Current Stock Price ($)</t>
        </is>
      </c>
      <c r="B9" s="12" t="n">
        <v>1074.01</v>
      </c>
    </row>
    <row r="10" ht="17" customHeight="1">
      <c r="A10" s="11" t="inlineStr">
        <is>
          <t>Shares Outstanding (M)</t>
        </is>
      </c>
      <c r="B10" s="13" t="n">
        <v>443.65</v>
      </c>
    </row>
    <row r="11" ht="17" customHeight="1">
      <c r="A11" s="11" t="inlineStr">
        <is>
          <t>Market Cap ($M)</t>
        </is>
      </c>
      <c r="B11" s="14">
        <f>B9*B10</f>
        <v/>
      </c>
    </row>
    <row r="12" ht="17" customHeight="1">
      <c r="A12" s="11" t="inlineStr">
        <is>
          <t>Cash &amp; Equivalents ($M)</t>
        </is>
      </c>
      <c r="B12" s="15" t="n">
        <v>11144</v>
      </c>
    </row>
    <row r="13" ht="17" customHeight="1">
      <c r="A13" s="11" t="inlineStr">
        <is>
          <t>Total Debt ($M)</t>
        </is>
      </c>
      <c r="B13" s="15" t="n">
        <v>10000</v>
      </c>
    </row>
    <row r="14" ht="17" customHeight="1">
      <c r="A14" s="11" t="inlineStr">
        <is>
          <t>Net Debt ($M)</t>
        </is>
      </c>
      <c r="B14" s="14">
        <f>B12-B11</f>
        <v/>
      </c>
    </row>
    <row r="15" ht="17" customHeight="1">
      <c r="A15" s="11" t="inlineStr">
        <is>
          <t>Beta (5Y Monthly)</t>
        </is>
      </c>
      <c r="B15" s="16" t="n">
        <v>0.91</v>
      </c>
    </row>
    <row r="16" ht="17" customHeight="1">
      <c r="A16" s="11" t="inlineStr">
        <is>
          <t>Risk-Free Rate (10Y UST)</t>
        </is>
      </c>
      <c r="B16" s="17" t="n">
        <v>0.043</v>
      </c>
    </row>
    <row r="17" ht="17" customHeight="1">
      <c r="A17" s="11" t="inlineStr">
        <is>
          <t>Equity Risk Premium</t>
        </is>
      </c>
      <c r="B17" s="17" t="n">
        <v>0.055</v>
      </c>
    </row>
    <row r="18" ht="17" customHeight="1">
      <c r="A18" s="11" t="inlineStr">
        <is>
          <t>Cost of Equity (CAPM)</t>
        </is>
      </c>
      <c r="B18" s="18">
        <f>B16+B17*B15</f>
        <v/>
      </c>
    </row>
    <row r="19" ht="17" customHeight="1">
      <c r="A19" s="11" t="inlineStr">
        <is>
          <t>WACC</t>
        </is>
      </c>
      <c r="B19" s="17" t="n">
        <v>0.074</v>
      </c>
    </row>
    <row r="20" ht="6" customHeight="1">
      <c r="A20" s="19" t="n"/>
      <c r="B20" s="20" t="n"/>
    </row>
    <row r="21" ht="20" customHeight="1">
      <c r="A21" s="3" t="inlineStr">
        <is>
          <t>SCENARIO ASSUMPTIONS — 10-YEAR PROJECTION</t>
        </is>
      </c>
    </row>
    <row r="22" ht="18" customHeight="1">
      <c r="A22" s="21" t="inlineStr">
        <is>
          <t>BEAR CASE ASSUMPTIONS</t>
        </is>
      </c>
    </row>
    <row r="23" ht="16" customHeight="1">
      <c r="A23" s="22" t="inlineStr">
        <is>
          <t>Assumption</t>
        </is>
      </c>
      <c r="B23" s="22" t="inlineStr">
        <is>
          <t>FY2025E</t>
        </is>
      </c>
      <c r="C23" s="22" t="inlineStr">
        <is>
          <t>FY2026E</t>
        </is>
      </c>
      <c r="D23" s="22" t="inlineStr">
        <is>
          <t>FY2027E</t>
        </is>
      </c>
      <c r="E23" s="22" t="inlineStr">
        <is>
          <t>FY2028E</t>
        </is>
      </c>
      <c r="F23" s="22" t="inlineStr">
        <is>
          <t>FY2029E</t>
        </is>
      </c>
      <c r="G23" s="22" t="inlineStr">
        <is>
          <t>FY2030E</t>
        </is>
      </c>
      <c r="H23" s="22" t="inlineStr">
        <is>
          <t>FY2031E</t>
        </is>
      </c>
      <c r="I23" s="22" t="inlineStr">
        <is>
          <t>FY2032E</t>
        </is>
      </c>
      <c r="J23" s="22" t="inlineStr">
        <is>
          <t>FY2033E</t>
        </is>
      </c>
      <c r="K23" s="22" t="inlineStr">
        <is>
          <t>FY2034E</t>
        </is>
      </c>
      <c r="L23" s="22" t="inlineStr">
        <is>
          <t>Terminal</t>
        </is>
      </c>
    </row>
    <row r="24" ht="16" customHeight="1">
      <c r="A24" s="23" t="inlineStr">
        <is>
          <t>Revenue Growth (%)</t>
        </is>
      </c>
      <c r="B24" s="24" t="n">
        <v>0.055</v>
      </c>
      <c r="C24" s="24" t="n">
        <v>0.05</v>
      </c>
      <c r="D24" s="24" t="n">
        <v>0.048</v>
      </c>
      <c r="E24" s="24" t="n">
        <v>0.045</v>
      </c>
      <c r="F24" s="24" t="n">
        <v>0.043</v>
      </c>
      <c r="G24" s="24" t="n">
        <v>0.04</v>
      </c>
      <c r="H24" s="24" t="n">
        <v>0.038</v>
      </c>
      <c r="I24" s="24" t="n">
        <v>0.036</v>
      </c>
      <c r="J24" s="24" t="n">
        <v>0.034</v>
      </c>
      <c r="K24" s="24" t="n">
        <v>0.032</v>
      </c>
    </row>
    <row r="25" ht="16" customHeight="1">
      <c r="A25" s="23" t="inlineStr">
        <is>
          <t>EBIT Margin (%)</t>
        </is>
      </c>
      <c r="B25" s="24" t="n">
        <v>0.037</v>
      </c>
      <c r="C25" s="24" t="n">
        <v>0.038</v>
      </c>
      <c r="D25" s="24" t="n">
        <v>0.039</v>
      </c>
      <c r="E25" s="24" t="n">
        <v>0.04</v>
      </c>
      <c r="F25" s="24" t="n">
        <v>0.041</v>
      </c>
      <c r="G25" s="24" t="n">
        <v>0.042</v>
      </c>
      <c r="H25" s="24" t="n">
        <v>0.043</v>
      </c>
      <c r="I25" s="24" t="n">
        <v>0.044</v>
      </c>
      <c r="J25" s="24" t="n">
        <v>0.044</v>
      </c>
      <c r="K25" s="24" t="n">
        <v>0.045</v>
      </c>
    </row>
    <row r="26" ht="16" customHeight="1">
      <c r="A26" s="23" t="inlineStr">
        <is>
          <t>D&amp;A (% of Rev)</t>
        </is>
      </c>
      <c r="B26" s="24" t="n">
        <v>0.017</v>
      </c>
      <c r="C26" s="24" t="n">
        <v>0.017</v>
      </c>
      <c r="D26" s="24" t="n">
        <v>0.017</v>
      </c>
      <c r="E26" s="24" t="n">
        <v>0.017</v>
      </c>
      <c r="F26" s="24" t="n">
        <v>0.017</v>
      </c>
      <c r="G26" s="24" t="n">
        <v>0.017</v>
      </c>
      <c r="H26" s="24" t="n">
        <v>0.017</v>
      </c>
      <c r="I26" s="24" t="n">
        <v>0.017</v>
      </c>
      <c r="J26" s="24" t="n">
        <v>0.017</v>
      </c>
      <c r="K26" s="24" t="n">
        <v>0.017</v>
      </c>
    </row>
    <row r="27" ht="16" customHeight="1">
      <c r="A27" s="23" t="inlineStr">
        <is>
          <t>CapEx (% of Rev)</t>
        </is>
      </c>
      <c r="B27" s="24" t="n">
        <v>0.017</v>
      </c>
      <c r="C27" s="24" t="n">
        <v>0.017</v>
      </c>
      <c r="D27" s="24" t="n">
        <v>0.017</v>
      </c>
      <c r="E27" s="24" t="n">
        <v>0.017</v>
      </c>
      <c r="F27" s="24" t="n">
        <v>0.017</v>
      </c>
      <c r="G27" s="24" t="n">
        <v>0.017</v>
      </c>
      <c r="H27" s="24" t="n">
        <v>0.017</v>
      </c>
      <c r="I27" s="24" t="n">
        <v>0.017</v>
      </c>
      <c r="J27" s="24" t="n">
        <v>0.017</v>
      </c>
      <c r="K27" s="24" t="n">
        <v>0.017</v>
      </c>
    </row>
    <row r="28" ht="16" customHeight="1">
      <c r="A28" s="23" t="inlineStr">
        <is>
          <t>Δ NWC (% of ΔRev)</t>
        </is>
      </c>
      <c r="B28" s="24" t="n">
        <v>0.02</v>
      </c>
      <c r="C28" s="24" t="n">
        <v>0.02</v>
      </c>
      <c r="D28" s="24" t="n">
        <v>0.02</v>
      </c>
      <c r="E28" s="24" t="n">
        <v>0.02</v>
      </c>
      <c r="F28" s="24" t="n">
        <v>0.02</v>
      </c>
      <c r="G28" s="24" t="n">
        <v>0.02</v>
      </c>
      <c r="H28" s="24" t="n">
        <v>0.02</v>
      </c>
      <c r="I28" s="24" t="n">
        <v>0.02</v>
      </c>
      <c r="J28" s="24" t="n">
        <v>0.02</v>
      </c>
      <c r="K28" s="24" t="n">
        <v>0.02</v>
      </c>
    </row>
    <row r="29" ht="16" customHeight="1">
      <c r="A29" s="23" t="inlineStr">
        <is>
          <t>Tax Rate (%)</t>
        </is>
      </c>
      <c r="B29" s="24" t="n">
        <v>0.26</v>
      </c>
      <c r="C29" s="24" t="n">
        <v>0.26</v>
      </c>
      <c r="D29" s="24" t="n">
        <v>0.26</v>
      </c>
      <c r="E29" s="24" t="n">
        <v>0.26</v>
      </c>
      <c r="F29" s="24" t="n">
        <v>0.26</v>
      </c>
      <c r="G29" s="24" t="n">
        <v>0.26</v>
      </c>
      <c r="H29" s="24" t="n">
        <v>0.26</v>
      </c>
      <c r="I29" s="24" t="n">
        <v>0.26</v>
      </c>
      <c r="J29" s="24" t="n">
        <v>0.26</v>
      </c>
      <c r="K29" s="24" t="n">
        <v>0.26</v>
      </c>
    </row>
    <row r="30" ht="16" customHeight="1">
      <c r="A30" s="23" t="inlineStr">
        <is>
          <t>Terminal Growth (%)</t>
        </is>
      </c>
      <c r="K30" s="24" t="n">
        <v>0.025</v>
      </c>
      <c r="L30" s="24" t="n">
        <v>0.025</v>
      </c>
    </row>
    <row r="31" ht="6" customHeight="1"/>
    <row r="33" ht="18" customHeight="1">
      <c r="A33" s="21" t="inlineStr">
        <is>
          <t>BASE CASE ASSUMPTIONS</t>
        </is>
      </c>
    </row>
    <row r="34" ht="16" customHeight="1">
      <c r="A34" s="22" t="inlineStr">
        <is>
          <t>Assumption</t>
        </is>
      </c>
      <c r="B34" s="22" t="inlineStr">
        <is>
          <t>FY2025E</t>
        </is>
      </c>
      <c r="C34" s="22" t="inlineStr">
        <is>
          <t>FY2026E</t>
        </is>
      </c>
      <c r="D34" s="22" t="inlineStr">
        <is>
          <t>FY2027E</t>
        </is>
      </c>
      <c r="E34" s="22" t="inlineStr">
        <is>
          <t>FY2028E</t>
        </is>
      </c>
      <c r="F34" s="22" t="inlineStr">
        <is>
          <t>FY2029E</t>
        </is>
      </c>
      <c r="G34" s="22" t="inlineStr">
        <is>
          <t>FY2030E</t>
        </is>
      </c>
      <c r="H34" s="22" t="inlineStr">
        <is>
          <t>FY2031E</t>
        </is>
      </c>
      <c r="I34" s="22" t="inlineStr">
        <is>
          <t>FY2032E</t>
        </is>
      </c>
      <c r="J34" s="22" t="inlineStr">
        <is>
          <t>FY2033E</t>
        </is>
      </c>
      <c r="K34" s="22" t="inlineStr">
        <is>
          <t>FY2034E</t>
        </is>
      </c>
      <c r="L34" s="22" t="inlineStr">
        <is>
          <t>Terminal</t>
        </is>
      </c>
    </row>
    <row r="35" ht="16" customHeight="1">
      <c r="A35" s="25" t="inlineStr">
        <is>
          <t>Revenue Growth (%)</t>
        </is>
      </c>
      <c r="B35" s="26" t="n">
        <v>0.08</v>
      </c>
      <c r="C35" s="26" t="n">
        <v>0.075</v>
      </c>
      <c r="D35" s="26" t="n">
        <v>0.07199999999999999</v>
      </c>
      <c r="E35" s="26" t="n">
        <v>0.07000000000000001</v>
      </c>
      <c r="F35" s="26" t="n">
        <v>0.068</v>
      </c>
      <c r="G35" s="26" t="n">
        <v>0.065</v>
      </c>
      <c r="H35" s="26" t="n">
        <v>0.063</v>
      </c>
      <c r="I35" s="26" t="n">
        <v>0.06</v>
      </c>
      <c r="J35" s="26" t="n">
        <v>0.058</v>
      </c>
      <c r="K35" s="26" t="n">
        <v>0.055</v>
      </c>
    </row>
    <row r="36" ht="16" customHeight="1">
      <c r="A36" s="25" t="inlineStr">
        <is>
          <t>EBIT Margin (%)</t>
        </is>
      </c>
      <c r="B36" s="26" t="n">
        <v>0.04</v>
      </c>
      <c r="C36" s="26" t="n">
        <v>0.042</v>
      </c>
      <c r="D36" s="26" t="n">
        <v>0.044</v>
      </c>
      <c r="E36" s="26" t="n">
        <v>0.045</v>
      </c>
      <c r="F36" s="26" t="n">
        <v>0.047</v>
      </c>
      <c r="G36" s="26" t="n">
        <v>0.048</v>
      </c>
      <c r="H36" s="26" t="n">
        <v>0.049</v>
      </c>
      <c r="I36" s="26" t="n">
        <v>0.05</v>
      </c>
      <c r="J36" s="26" t="n">
        <v>0.051</v>
      </c>
      <c r="K36" s="26" t="n">
        <v>0.052</v>
      </c>
    </row>
    <row r="37" ht="16" customHeight="1">
      <c r="A37" s="25" t="inlineStr">
        <is>
          <t>D&amp;A (% of Rev)</t>
        </is>
      </c>
      <c r="B37" s="26" t="n">
        <v>0.017</v>
      </c>
      <c r="C37" s="26" t="n">
        <v>0.017</v>
      </c>
      <c r="D37" s="26" t="n">
        <v>0.017</v>
      </c>
      <c r="E37" s="26" t="n">
        <v>0.017</v>
      </c>
      <c r="F37" s="26" t="n">
        <v>0.017</v>
      </c>
      <c r="G37" s="26" t="n">
        <v>0.017</v>
      </c>
      <c r="H37" s="26" t="n">
        <v>0.017</v>
      </c>
      <c r="I37" s="26" t="n">
        <v>0.017</v>
      </c>
      <c r="J37" s="26" t="n">
        <v>0.017</v>
      </c>
      <c r="K37" s="26" t="n">
        <v>0.017</v>
      </c>
    </row>
    <row r="38" ht="16" customHeight="1">
      <c r="A38" s="25" t="inlineStr">
        <is>
          <t>CapEx (% of Rev)</t>
        </is>
      </c>
      <c r="B38" s="26" t="n">
        <v>0.017</v>
      </c>
      <c r="C38" s="26" t="n">
        <v>0.017</v>
      </c>
      <c r="D38" s="26" t="n">
        <v>0.017</v>
      </c>
      <c r="E38" s="26" t="n">
        <v>0.017</v>
      </c>
      <c r="F38" s="26" t="n">
        <v>0.017</v>
      </c>
      <c r="G38" s="26" t="n">
        <v>0.017</v>
      </c>
      <c r="H38" s="26" t="n">
        <v>0.017</v>
      </c>
      <c r="I38" s="26" t="n">
        <v>0.017</v>
      </c>
      <c r="J38" s="26" t="n">
        <v>0.017</v>
      </c>
      <c r="K38" s="26" t="n">
        <v>0.017</v>
      </c>
    </row>
    <row r="39" ht="16" customHeight="1">
      <c r="A39" s="25" t="inlineStr">
        <is>
          <t>Δ NWC (% of ΔRev)</t>
        </is>
      </c>
      <c r="B39" s="26" t="n">
        <v>0.02</v>
      </c>
      <c r="C39" s="26" t="n">
        <v>0.02</v>
      </c>
      <c r="D39" s="26" t="n">
        <v>0.02</v>
      </c>
      <c r="E39" s="26" t="n">
        <v>0.02</v>
      </c>
      <c r="F39" s="26" t="n">
        <v>0.02</v>
      </c>
      <c r="G39" s="26" t="n">
        <v>0.02</v>
      </c>
      <c r="H39" s="26" t="n">
        <v>0.02</v>
      </c>
      <c r="I39" s="26" t="n">
        <v>0.02</v>
      </c>
      <c r="J39" s="26" t="n">
        <v>0.02</v>
      </c>
      <c r="K39" s="26" t="n">
        <v>0.02</v>
      </c>
    </row>
    <row r="40" ht="16" customHeight="1">
      <c r="A40" s="25" t="inlineStr">
        <is>
          <t>Tax Rate (%)</t>
        </is>
      </c>
      <c r="B40" s="26" t="n">
        <v>0.26</v>
      </c>
      <c r="C40" s="26" t="n">
        <v>0.26</v>
      </c>
      <c r="D40" s="26" t="n">
        <v>0.26</v>
      </c>
      <c r="E40" s="26" t="n">
        <v>0.26</v>
      </c>
      <c r="F40" s="26" t="n">
        <v>0.26</v>
      </c>
      <c r="G40" s="26" t="n">
        <v>0.26</v>
      </c>
      <c r="H40" s="26" t="n">
        <v>0.26</v>
      </c>
      <c r="I40" s="26" t="n">
        <v>0.26</v>
      </c>
      <c r="J40" s="26" t="n">
        <v>0.26</v>
      </c>
      <c r="K40" s="26" t="n">
        <v>0.26</v>
      </c>
    </row>
    <row r="41" ht="16" customHeight="1">
      <c r="A41" s="25" t="inlineStr">
        <is>
          <t>Terminal Growth (%)</t>
        </is>
      </c>
      <c r="K41" s="26" t="n">
        <v>0.025</v>
      </c>
      <c r="L41" s="26" t="n">
        <v>0.025</v>
      </c>
    </row>
    <row r="42" ht="6" customHeight="1"/>
    <row r="44" ht="18" customHeight="1">
      <c r="A44" s="21" t="inlineStr">
        <is>
          <t>BULL CASE ASSUMPTIONS</t>
        </is>
      </c>
    </row>
    <row r="45" ht="16" customHeight="1">
      <c r="A45" s="22" t="inlineStr">
        <is>
          <t>Assumption</t>
        </is>
      </c>
      <c r="B45" s="22" t="inlineStr">
        <is>
          <t>FY2025E</t>
        </is>
      </c>
      <c r="C45" s="22" t="inlineStr">
        <is>
          <t>FY2026E</t>
        </is>
      </c>
      <c r="D45" s="22" t="inlineStr">
        <is>
          <t>FY2027E</t>
        </is>
      </c>
      <c r="E45" s="22" t="inlineStr">
        <is>
          <t>FY2028E</t>
        </is>
      </c>
      <c r="F45" s="22" t="inlineStr">
        <is>
          <t>FY2029E</t>
        </is>
      </c>
      <c r="G45" s="22" t="inlineStr">
        <is>
          <t>FY2030E</t>
        </is>
      </c>
      <c r="H45" s="22" t="inlineStr">
        <is>
          <t>FY2031E</t>
        </is>
      </c>
      <c r="I45" s="22" t="inlineStr">
        <is>
          <t>FY2032E</t>
        </is>
      </c>
      <c r="J45" s="22" t="inlineStr">
        <is>
          <t>FY2033E</t>
        </is>
      </c>
      <c r="K45" s="22" t="inlineStr">
        <is>
          <t>FY2034E</t>
        </is>
      </c>
      <c r="L45" s="22" t="inlineStr">
        <is>
          <t>Terminal</t>
        </is>
      </c>
    </row>
    <row r="46" ht="16" customHeight="1">
      <c r="A46" s="23" t="inlineStr">
        <is>
          <t>Revenue Growth (%)</t>
        </is>
      </c>
      <c r="B46" s="24" t="n">
        <v>0.1</v>
      </c>
      <c r="C46" s="24" t="n">
        <v>0.095</v>
      </c>
      <c r="D46" s="24" t="n">
        <v>0.09</v>
      </c>
      <c r="E46" s="24" t="n">
        <v>0.08500000000000001</v>
      </c>
      <c r="F46" s="24" t="n">
        <v>0.082</v>
      </c>
      <c r="G46" s="24" t="n">
        <v>0.08</v>
      </c>
      <c r="H46" s="24" t="n">
        <v>0.078</v>
      </c>
      <c r="I46" s="24" t="n">
        <v>0.075</v>
      </c>
      <c r="J46" s="24" t="n">
        <v>0.07199999999999999</v>
      </c>
      <c r="K46" s="24" t="n">
        <v>0.07000000000000001</v>
      </c>
    </row>
    <row r="47" ht="16" customHeight="1">
      <c r="A47" s="23" t="inlineStr">
        <is>
          <t>EBIT Margin (%)</t>
        </is>
      </c>
      <c r="B47" s="24" t="n">
        <v>0.044</v>
      </c>
      <c r="C47" s="24" t="n">
        <v>0.047</v>
      </c>
      <c r="D47" s="24" t="n">
        <v>0.05</v>
      </c>
      <c r="E47" s="24" t="n">
        <v>0.053</v>
      </c>
      <c r="F47" s="24" t="n">
        <v>0.055</v>
      </c>
      <c r="G47" s="24" t="n">
        <v>0.057</v>
      </c>
      <c r="H47" s="24" t="n">
        <v>0.058</v>
      </c>
      <c r="I47" s="24" t="n">
        <v>0.06</v>
      </c>
      <c r="J47" s="24" t="n">
        <v>0.062</v>
      </c>
      <c r="K47" s="24" t="n">
        <v>0.064</v>
      </c>
    </row>
    <row r="48" ht="16" customHeight="1">
      <c r="A48" s="23" t="inlineStr">
        <is>
          <t>D&amp;A (% of Rev)</t>
        </is>
      </c>
      <c r="B48" s="24" t="n">
        <v>0.017</v>
      </c>
      <c r="C48" s="24" t="n">
        <v>0.017</v>
      </c>
      <c r="D48" s="24" t="n">
        <v>0.017</v>
      </c>
      <c r="E48" s="24" t="n">
        <v>0.017</v>
      </c>
      <c r="F48" s="24" t="n">
        <v>0.017</v>
      </c>
      <c r="G48" s="24" t="n">
        <v>0.017</v>
      </c>
      <c r="H48" s="24" t="n">
        <v>0.017</v>
      </c>
      <c r="I48" s="24" t="n">
        <v>0.017</v>
      </c>
      <c r="J48" s="24" t="n">
        <v>0.017</v>
      </c>
      <c r="K48" s="24" t="n">
        <v>0.017</v>
      </c>
    </row>
    <row r="49" ht="16" customHeight="1">
      <c r="A49" s="23" t="inlineStr">
        <is>
          <t>CapEx (% of Rev)</t>
        </is>
      </c>
      <c r="B49" s="24" t="n">
        <v>0.017</v>
      </c>
      <c r="C49" s="24" t="n">
        <v>0.017</v>
      </c>
      <c r="D49" s="24" t="n">
        <v>0.017</v>
      </c>
      <c r="E49" s="24" t="n">
        <v>0.017</v>
      </c>
      <c r="F49" s="24" t="n">
        <v>0.017</v>
      </c>
      <c r="G49" s="24" t="n">
        <v>0.017</v>
      </c>
      <c r="H49" s="24" t="n">
        <v>0.017</v>
      </c>
      <c r="I49" s="24" t="n">
        <v>0.017</v>
      </c>
      <c r="J49" s="24" t="n">
        <v>0.017</v>
      </c>
      <c r="K49" s="24" t="n">
        <v>0.017</v>
      </c>
    </row>
    <row r="50" ht="16" customHeight="1">
      <c r="A50" s="23" t="inlineStr">
        <is>
          <t>Δ NWC (% of ΔRev)</t>
        </is>
      </c>
      <c r="B50" s="24" t="n">
        <v>0.02</v>
      </c>
      <c r="C50" s="24" t="n">
        <v>0.02</v>
      </c>
      <c r="D50" s="24" t="n">
        <v>0.02</v>
      </c>
      <c r="E50" s="24" t="n">
        <v>0.02</v>
      </c>
      <c r="F50" s="24" t="n">
        <v>0.02</v>
      </c>
      <c r="G50" s="24" t="n">
        <v>0.02</v>
      </c>
      <c r="H50" s="24" t="n">
        <v>0.02</v>
      </c>
      <c r="I50" s="24" t="n">
        <v>0.02</v>
      </c>
      <c r="J50" s="24" t="n">
        <v>0.02</v>
      </c>
      <c r="K50" s="24" t="n">
        <v>0.02</v>
      </c>
    </row>
    <row r="51" ht="16" customHeight="1">
      <c r="A51" s="23" t="inlineStr">
        <is>
          <t>Tax Rate (%)</t>
        </is>
      </c>
      <c r="B51" s="24" t="n">
        <v>0.26</v>
      </c>
      <c r="C51" s="24" t="n">
        <v>0.26</v>
      </c>
      <c r="D51" s="24" t="n">
        <v>0.26</v>
      </c>
      <c r="E51" s="24" t="n">
        <v>0.26</v>
      </c>
      <c r="F51" s="24" t="n">
        <v>0.26</v>
      </c>
      <c r="G51" s="24" t="n">
        <v>0.26</v>
      </c>
      <c r="H51" s="24" t="n">
        <v>0.26</v>
      </c>
      <c r="I51" s="24" t="n">
        <v>0.26</v>
      </c>
      <c r="J51" s="24" t="n">
        <v>0.26</v>
      </c>
      <c r="K51" s="24" t="n">
        <v>0.26</v>
      </c>
    </row>
    <row r="52" ht="16" customHeight="1">
      <c r="A52" s="23" t="inlineStr">
        <is>
          <t>Terminal Growth (%)</t>
        </is>
      </c>
      <c r="K52" s="24" t="n">
        <v>0.025</v>
      </c>
      <c r="L52" s="24" t="n">
        <v>0.025</v>
      </c>
    </row>
    <row r="53" ht="6" customHeight="1"/>
    <row r="57" ht="20" customHeight="1">
      <c r="A57" s="7" t="inlineStr">
        <is>
          <t>SELECTED CASE — CONSOLIDATED PROJECTION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8" t="n"/>
    </row>
    <row r="58" ht="16" customHeight="1">
      <c r="A58" s="28" t="inlineStr">
        <is>
          <t>($M)</t>
        </is>
      </c>
      <c r="B58" s="29" t="inlineStr">
        <is>
          <t>FY2025E</t>
        </is>
      </c>
      <c r="C58" s="29" t="inlineStr">
        <is>
          <t>FY2026E</t>
        </is>
      </c>
      <c r="D58" s="29" t="inlineStr">
        <is>
          <t>FY2027E</t>
        </is>
      </c>
      <c r="E58" s="29" t="inlineStr">
        <is>
          <t>FY2028E</t>
        </is>
      </c>
      <c r="F58" s="29" t="inlineStr">
        <is>
          <t>FY2029E</t>
        </is>
      </c>
      <c r="G58" s="29" t="inlineStr">
        <is>
          <t>FY2030E</t>
        </is>
      </c>
      <c r="H58" s="29" t="inlineStr">
        <is>
          <t>FY2031E</t>
        </is>
      </c>
      <c r="I58" s="29" t="inlineStr">
        <is>
          <t>FY2032E</t>
        </is>
      </c>
      <c r="J58" s="29" t="inlineStr">
        <is>
          <t>FY2033E</t>
        </is>
      </c>
      <c r="K58" s="29" t="inlineStr">
        <is>
          <t>FY2034E</t>
        </is>
      </c>
      <c r="L58" s="30" t="inlineStr">
        <is>
          <t>Terminal</t>
        </is>
      </c>
    </row>
    <row r="59" ht="17" customHeight="1">
      <c r="A59" s="31" t="inlineStr">
        <is>
          <t>Revenue</t>
        </is>
      </c>
      <c r="B59" s="32">
        <f>B59*(1+INDEX(B24:B24,1,$B$5))</f>
        <v/>
      </c>
      <c r="C59" s="33">
        <f>B59*(1+INDEX(C24:C24,1,$B$5))</f>
        <v/>
      </c>
      <c r="D59" s="32">
        <f>C59*(1+INDEX(D24:D24,1,$B$5))</f>
        <v/>
      </c>
      <c r="E59" s="33">
        <f>D59*(1+INDEX(E24:E24,1,$B$5))</f>
        <v/>
      </c>
      <c r="F59" s="32">
        <f>E59*(1+INDEX(F24:F24,1,$B$5))</f>
        <v/>
      </c>
      <c r="G59" s="33">
        <f>F59*(1+INDEX(G24:G24,1,$B$5))</f>
        <v/>
      </c>
      <c r="H59" s="32">
        <f>G59*(1+INDEX(H24:H24,1,$B$5))</f>
        <v/>
      </c>
      <c r="I59" s="33">
        <f>H59*(1+INDEX(I24:I24,1,$B$5))</f>
        <v/>
      </c>
      <c r="J59" s="32">
        <f>I59*(1+INDEX(J24:J24,1,$B$5))</f>
        <v/>
      </c>
      <c r="K59" s="33">
        <f>J59*(1+INDEX(K24:K24,1,$B$5))</f>
        <v/>
      </c>
      <c r="L59" s="10" t="n"/>
    </row>
    <row r="60" ht="17" customHeight="1">
      <c r="A60" s="34" t="inlineStr">
        <is>
          <t xml:space="preserve">  Revenue Growth</t>
        </is>
      </c>
      <c r="B60" s="35">
        <f>INDEX(B24:B24,1,$B$5)</f>
        <v/>
      </c>
      <c r="C60" s="36">
        <f>INDEX(C24:C24,1,$B$5)</f>
        <v/>
      </c>
      <c r="D60" s="35">
        <f>INDEX(D24:D24,1,$B$5)</f>
        <v/>
      </c>
      <c r="E60" s="36">
        <f>INDEX(E24:E24,1,$B$5)</f>
        <v/>
      </c>
      <c r="F60" s="35">
        <f>INDEX(F24:F24,1,$B$5)</f>
        <v/>
      </c>
      <c r="G60" s="36">
        <f>INDEX(G24:G24,1,$B$5)</f>
        <v/>
      </c>
      <c r="H60" s="35">
        <f>INDEX(H24:H24,1,$B$5)</f>
        <v/>
      </c>
      <c r="I60" s="36">
        <f>INDEX(I24:I24,1,$B$5)</f>
        <v/>
      </c>
      <c r="J60" s="35">
        <f>INDEX(J24:J24,1,$B$5)</f>
        <v/>
      </c>
      <c r="K60" s="36">
        <f>INDEX(K24:K24,1,$B$5)</f>
        <v/>
      </c>
      <c r="L60" s="10" t="n"/>
    </row>
    <row r="61" ht="17" customHeight="1">
      <c r="A61" s="31" t="inlineStr">
        <is>
          <t>EBIT</t>
        </is>
      </c>
      <c r="B61" s="32">
        <f>B59*INDEX(B25:B25,1,$B$5)</f>
        <v/>
      </c>
      <c r="C61" s="33">
        <f>C59*INDEX(C25:C25,1,$B$5)</f>
        <v/>
      </c>
      <c r="D61" s="32">
        <f>D59*INDEX(D25:D25,1,$B$5)</f>
        <v/>
      </c>
      <c r="E61" s="33">
        <f>E59*INDEX(E25:E25,1,$B$5)</f>
        <v/>
      </c>
      <c r="F61" s="32">
        <f>F59*INDEX(F25:F25,1,$B$5)</f>
        <v/>
      </c>
      <c r="G61" s="33">
        <f>G59*INDEX(G25:G25,1,$B$5)</f>
        <v/>
      </c>
      <c r="H61" s="32">
        <f>H59*INDEX(H25:H25,1,$B$5)</f>
        <v/>
      </c>
      <c r="I61" s="33">
        <f>I59*INDEX(I25:I25,1,$B$5)</f>
        <v/>
      </c>
      <c r="J61" s="32">
        <f>J59*INDEX(J25:J25,1,$B$5)</f>
        <v/>
      </c>
      <c r="K61" s="33">
        <f>K59*INDEX(K25:K25,1,$B$5)</f>
        <v/>
      </c>
      <c r="L61" s="10" t="n"/>
    </row>
    <row r="62" ht="17" customHeight="1">
      <c r="A62" s="34" t="inlineStr">
        <is>
          <t xml:space="preserve">  Taxes on EBIT</t>
        </is>
      </c>
      <c r="B62" s="32">
        <f>B61*INDEX(B26:B26,1,$B$5)</f>
        <v/>
      </c>
      <c r="C62" s="33">
        <f>C61*INDEX(C26:C26,1,$B$5)</f>
        <v/>
      </c>
      <c r="D62" s="32">
        <f>D61*INDEX(D26:D26,1,$B$5)</f>
        <v/>
      </c>
      <c r="E62" s="33">
        <f>E61*INDEX(E26:E26,1,$B$5)</f>
        <v/>
      </c>
      <c r="F62" s="32">
        <f>F61*INDEX(F26:F26,1,$B$5)</f>
        <v/>
      </c>
      <c r="G62" s="33">
        <f>G61*INDEX(G26:G26,1,$B$5)</f>
        <v/>
      </c>
      <c r="H62" s="32">
        <f>H61*INDEX(H26:H26,1,$B$5)</f>
        <v/>
      </c>
      <c r="I62" s="33">
        <f>I61*INDEX(I26:I26,1,$B$5)</f>
        <v/>
      </c>
      <c r="J62" s="32">
        <f>J61*INDEX(J26:J26,1,$B$5)</f>
        <v/>
      </c>
      <c r="K62" s="33">
        <f>K61*INDEX(K26:K26,1,$B$5)</f>
        <v/>
      </c>
      <c r="L62" s="10" t="n"/>
    </row>
    <row r="63" ht="17" customHeight="1">
      <c r="A63" s="31" t="inlineStr">
        <is>
          <t>NOPAT</t>
        </is>
      </c>
      <c r="B63" s="32">
        <f>B61-B62</f>
        <v/>
      </c>
      <c r="C63" s="33">
        <f>C61-C62</f>
        <v/>
      </c>
      <c r="D63" s="32">
        <f>D61-D62</f>
        <v/>
      </c>
      <c r="E63" s="33">
        <f>E61-E62</f>
        <v/>
      </c>
      <c r="F63" s="32">
        <f>F61-F62</f>
        <v/>
      </c>
      <c r="G63" s="33">
        <f>G61-G62</f>
        <v/>
      </c>
      <c r="H63" s="32">
        <f>H61-H62</f>
        <v/>
      </c>
      <c r="I63" s="33">
        <f>I61-I62</f>
        <v/>
      </c>
      <c r="J63" s="32">
        <f>J61-J62</f>
        <v/>
      </c>
      <c r="K63" s="33">
        <f>K61-K62</f>
        <v/>
      </c>
      <c r="L63" s="10" t="n"/>
    </row>
    <row r="64" ht="17" customHeight="1">
      <c r="A64" s="34" t="inlineStr">
        <is>
          <t xml:space="preserve">  (+) D&amp;A</t>
        </is>
      </c>
      <c r="B64" s="32">
        <f>B59*INDEX(B27:B27,1,$B$5)</f>
        <v/>
      </c>
      <c r="C64" s="33">
        <f>C59*INDEX(C27:C27,1,$B$5)</f>
        <v/>
      </c>
      <c r="D64" s="32">
        <f>D59*INDEX(D27:D27,1,$B$5)</f>
        <v/>
      </c>
      <c r="E64" s="33">
        <f>E59*INDEX(E27:E27,1,$B$5)</f>
        <v/>
      </c>
      <c r="F64" s="32">
        <f>F59*INDEX(F27:F27,1,$B$5)</f>
        <v/>
      </c>
      <c r="G64" s="33">
        <f>G59*INDEX(G27:G27,1,$B$5)</f>
        <v/>
      </c>
      <c r="H64" s="32">
        <f>H59*INDEX(H27:H27,1,$B$5)</f>
        <v/>
      </c>
      <c r="I64" s="33">
        <f>I59*INDEX(I27:I27,1,$B$5)</f>
        <v/>
      </c>
      <c r="J64" s="32">
        <f>J59*INDEX(J27:J27,1,$B$5)</f>
        <v/>
      </c>
      <c r="K64" s="33">
        <f>K59*INDEX(K27:K27,1,$B$5)</f>
        <v/>
      </c>
      <c r="L64" s="10" t="n"/>
    </row>
    <row r="65" ht="17" customHeight="1">
      <c r="A65" s="31" t="inlineStr">
        <is>
          <t xml:space="preserve">  (-) CapEx</t>
        </is>
      </c>
      <c r="B65" s="32">
        <f>-B59*INDEX(B28:B28,1,$B$5)</f>
        <v/>
      </c>
      <c r="C65" s="33">
        <f>-C59*INDEX(C28:C28,1,$B$5)</f>
        <v/>
      </c>
      <c r="D65" s="32">
        <f>-D59*INDEX(D28:D28,1,$B$5)</f>
        <v/>
      </c>
      <c r="E65" s="33">
        <f>-E59*INDEX(E28:E28,1,$B$5)</f>
        <v/>
      </c>
      <c r="F65" s="32">
        <f>-F59*INDEX(F28:F28,1,$B$5)</f>
        <v/>
      </c>
      <c r="G65" s="33">
        <f>-G59*INDEX(G28:G28,1,$B$5)</f>
        <v/>
      </c>
      <c r="H65" s="32">
        <f>-H59*INDEX(H28:H28,1,$B$5)</f>
        <v/>
      </c>
      <c r="I65" s="33">
        <f>-I59*INDEX(I28:I28,1,$B$5)</f>
        <v/>
      </c>
      <c r="J65" s="32">
        <f>-J59*INDEX(J28:J28,1,$B$5)</f>
        <v/>
      </c>
      <c r="K65" s="33">
        <f>-K59*INDEX(K28:K28,1,$B$5)</f>
        <v/>
      </c>
      <c r="L65" s="10" t="n"/>
    </row>
    <row r="66" ht="17" customHeight="1">
      <c r="A66" s="34" t="inlineStr">
        <is>
          <t xml:space="preserve">  (-) Δ NWC</t>
        </is>
      </c>
      <c r="B66" s="32">
        <f>(B59-249625)*INDEX(B29:B29,1,$B$5)</f>
        <v/>
      </c>
      <c r="C66" s="33">
        <f>(C59-B59)*INDEX(C29:C29,1,$B$5)</f>
        <v/>
      </c>
      <c r="D66" s="32">
        <f>(D59-C59)*INDEX(D29:D29,1,$B$5)</f>
        <v/>
      </c>
      <c r="E66" s="33">
        <f>(E59-D59)*INDEX(E29:E29,1,$B$5)</f>
        <v/>
      </c>
      <c r="F66" s="32">
        <f>(F59-E59)*INDEX(F29:F29,1,$B$5)</f>
        <v/>
      </c>
      <c r="G66" s="33">
        <f>(G59-F59)*INDEX(G29:G29,1,$B$5)</f>
        <v/>
      </c>
      <c r="H66" s="32">
        <f>(H59-G59)*INDEX(H29:H29,1,$B$5)</f>
        <v/>
      </c>
      <c r="I66" s="33">
        <f>(I59-H59)*INDEX(I29:I29,1,$B$5)</f>
        <v/>
      </c>
      <c r="J66" s="32">
        <f>(J59-I59)*INDEX(J29:J29,1,$B$5)</f>
        <v/>
      </c>
      <c r="K66" s="33">
        <f>(K59-J59)*INDEX(K29:K29,1,$B$5)</f>
        <v/>
      </c>
      <c r="L66" s="10" t="n"/>
    </row>
    <row r="67" ht="17" customHeight="1">
      <c r="A67" s="37" t="inlineStr">
        <is>
          <t>Unlevered FCF</t>
        </is>
      </c>
      <c r="B67" s="38">
        <f>B63+B64+B65+B66</f>
        <v/>
      </c>
      <c r="C67" s="38">
        <f>C63+C64+C65+C66</f>
        <v/>
      </c>
      <c r="D67" s="38">
        <f>D63+D64+D65+D66</f>
        <v/>
      </c>
      <c r="E67" s="38">
        <f>E63+E64+E65+E66</f>
        <v/>
      </c>
      <c r="F67" s="38">
        <f>F63+F64+F65+F66</f>
        <v/>
      </c>
      <c r="G67" s="38">
        <f>G63+G64+G65+G66</f>
        <v/>
      </c>
      <c r="H67" s="38">
        <f>H63+H64+H65+H66</f>
        <v/>
      </c>
      <c r="I67" s="38">
        <f>I63+I64+I65+I66</f>
        <v/>
      </c>
      <c r="J67" s="38">
        <f>J63+J64+J65+J66</f>
        <v/>
      </c>
      <c r="K67" s="38">
        <f>K63+K64+K65+K66</f>
        <v/>
      </c>
      <c r="L67" s="20" t="n"/>
    </row>
    <row r="68" ht="6" customHeight="1"/>
    <row r="69" ht="20" customHeight="1">
      <c r="A69" s="7" t="inlineStr">
        <is>
          <t>DCF VALUATION</t>
        </is>
      </c>
      <c r="B69" s="8" t="n"/>
    </row>
    <row r="70" ht="16" customHeight="1">
      <c r="A70" s="39" t="inlineStr">
        <is>
          <t>Item</t>
        </is>
      </c>
      <c r="B70" s="30" t="inlineStr">
        <is>
          <t>FY2025E</t>
        </is>
      </c>
      <c r="C70" s="22" t="inlineStr">
        <is>
          <t>FY2026E</t>
        </is>
      </c>
      <c r="D70" s="22" t="inlineStr">
        <is>
          <t>FY2027E</t>
        </is>
      </c>
      <c r="E70" s="22" t="inlineStr">
        <is>
          <t>FY2028E</t>
        </is>
      </c>
      <c r="F70" s="22" t="inlineStr">
        <is>
          <t>FY2029E</t>
        </is>
      </c>
      <c r="G70" s="22" t="inlineStr">
        <is>
          <t>FY2030E</t>
        </is>
      </c>
      <c r="H70" s="22" t="inlineStr">
        <is>
          <t>FY2031E</t>
        </is>
      </c>
      <c r="I70" s="22" t="inlineStr">
        <is>
          <t>FY2032E</t>
        </is>
      </c>
      <c r="J70" s="22" t="inlineStr">
        <is>
          <t>FY2033E</t>
        </is>
      </c>
      <c r="K70" s="22" t="inlineStr">
        <is>
          <t>FY2034E</t>
        </is>
      </c>
      <c r="L70" s="22" t="inlineStr">
        <is>
          <t>Terminal</t>
        </is>
      </c>
    </row>
    <row r="71" ht="17" customHeight="1">
      <c r="A71" s="40" t="inlineStr">
        <is>
          <t>Unlevered FCF ($M)</t>
        </is>
      </c>
      <c r="B71" s="41">
        <f>B67</f>
        <v/>
      </c>
      <c r="C71" s="42">
        <f>C67</f>
        <v/>
      </c>
      <c r="D71" s="42">
        <f>D67</f>
        <v/>
      </c>
      <c r="E71" s="42">
        <f>E67</f>
        <v/>
      </c>
      <c r="F71" s="42">
        <f>F67</f>
        <v/>
      </c>
      <c r="G71" s="42">
        <f>G67</f>
        <v/>
      </c>
      <c r="H71" s="42">
        <f>H67</f>
        <v/>
      </c>
      <c r="I71" s="42">
        <f>I67</f>
        <v/>
      </c>
      <c r="J71" s="42">
        <f>J67</f>
        <v/>
      </c>
      <c r="K71" s="42">
        <f>K67</f>
        <v/>
      </c>
      <c r="L71" s="43">
        <f>K67*(1+$B$52)/($B$19-$B$52)</f>
        <v/>
      </c>
    </row>
    <row r="72" ht="17" customHeight="1">
      <c r="A72" s="44" t="inlineStr">
        <is>
          <t>Period (mid-yr)</t>
        </is>
      </c>
      <c r="B72" s="45" t="n">
        <v>0.5</v>
      </c>
      <c r="C72" s="46" t="n">
        <v>1.5</v>
      </c>
      <c r="D72" s="46" t="n">
        <v>2.5</v>
      </c>
      <c r="E72" s="46" t="n">
        <v>3.5</v>
      </c>
      <c r="F72" s="46" t="n">
        <v>4.5</v>
      </c>
      <c r="G72" s="46" t="n">
        <v>5.5</v>
      </c>
      <c r="H72" s="46" t="n">
        <v>6.5</v>
      </c>
      <c r="I72" s="46" t="n">
        <v>7.5</v>
      </c>
      <c r="J72" s="46" t="n">
        <v>8.5</v>
      </c>
      <c r="K72" s="46" t="n">
        <v>9.5</v>
      </c>
      <c r="L72" s="46" t="n">
        <v>9.5</v>
      </c>
    </row>
    <row r="73" ht="17" customHeight="1">
      <c r="A73" s="44" t="inlineStr">
        <is>
          <t>Discount Factor</t>
        </is>
      </c>
      <c r="B73" s="47">
        <f>1/(1+$B$19)^B72</f>
        <v/>
      </c>
      <c r="C73" s="48">
        <f>1/(1+$B$19)^C72</f>
        <v/>
      </c>
      <c r="D73" s="48">
        <f>1/(1+$B$19)^D72</f>
        <v/>
      </c>
      <c r="E73" s="48">
        <f>1/(1+$B$19)^E72</f>
        <v/>
      </c>
      <c r="F73" s="48">
        <f>1/(1+$B$19)^F72</f>
        <v/>
      </c>
      <c r="G73" s="48">
        <f>1/(1+$B$19)^G72</f>
        <v/>
      </c>
      <c r="H73" s="48">
        <f>1/(1+$B$19)^H72</f>
        <v/>
      </c>
      <c r="I73" s="48">
        <f>1/(1+$B$19)^I72</f>
        <v/>
      </c>
      <c r="J73" s="48">
        <f>1/(1+$B$19)^J72</f>
        <v/>
      </c>
      <c r="K73" s="48">
        <f>1/(1+$B$19)^K72</f>
        <v/>
      </c>
      <c r="L73" s="48">
        <f>1/(1+$B$19)^L72</f>
        <v/>
      </c>
    </row>
    <row r="74" ht="17" customHeight="1">
      <c r="A74" s="34" t="inlineStr">
        <is>
          <t>PV of FCF ($M)</t>
        </is>
      </c>
      <c r="B74" s="41">
        <f>B71*B73</f>
        <v/>
      </c>
      <c r="C74" s="42">
        <f>C71*C73</f>
        <v/>
      </c>
      <c r="D74" s="42">
        <f>D71*D73</f>
        <v/>
      </c>
      <c r="E74" s="42">
        <f>E71*E73</f>
        <v/>
      </c>
      <c r="F74" s="42">
        <f>F71*F73</f>
        <v/>
      </c>
      <c r="G74" s="42">
        <f>G71*G73</f>
        <v/>
      </c>
      <c r="H74" s="42">
        <f>H71*H73</f>
        <v/>
      </c>
      <c r="I74" s="42">
        <f>I71*I73</f>
        <v/>
      </c>
      <c r="J74" s="42">
        <f>J71*J73</f>
        <v/>
      </c>
      <c r="K74" s="42">
        <f>K71*K73</f>
        <v/>
      </c>
      <c r="L74" s="43">
        <f>L71*L73</f>
        <v/>
      </c>
    </row>
    <row r="75" ht="20" customHeight="1">
      <c r="A75" s="40" t="inlineStr">
        <is>
          <t>Sum of PV FCFs</t>
        </is>
      </c>
      <c r="B75" s="49">
        <f>SUM(B74:K74)</f>
        <v/>
      </c>
    </row>
    <row r="76" ht="17" customHeight="1">
      <c r="A76" s="40" t="inlineStr">
        <is>
          <t>PV of Terminal Value</t>
        </is>
      </c>
      <c r="B76" s="50">
        <f>L74</f>
        <v/>
      </c>
    </row>
    <row r="77" ht="20" customHeight="1">
      <c r="A77" s="40" t="inlineStr">
        <is>
          <t>Enterprise Value</t>
        </is>
      </c>
      <c r="B77" s="49">
        <f>B75+B76</f>
        <v/>
      </c>
    </row>
    <row r="78" ht="17" customHeight="1">
      <c r="A78" s="51" t="inlineStr">
        <is>
          <t>(-) Net Debt (Cash)</t>
        </is>
      </c>
      <c r="B78" s="52">
        <f>-B13</f>
        <v/>
      </c>
    </row>
    <row r="79" ht="20" customHeight="1">
      <c r="A79" s="40" t="inlineStr">
        <is>
          <t>Equity Value</t>
        </is>
      </c>
      <c r="B79" s="49">
        <f>B77+B78</f>
        <v/>
      </c>
    </row>
    <row r="80" ht="17" customHeight="1">
      <c r="A80" s="51" t="inlineStr">
        <is>
          <t>Diluted Shares (M)</t>
        </is>
      </c>
      <c r="B80" s="53">
        <f>B10</f>
        <v/>
      </c>
    </row>
    <row r="81" ht="24" customHeight="1">
      <c r="A81" s="54" t="inlineStr">
        <is>
          <t>Implied Price per Share</t>
        </is>
      </c>
      <c r="B81" s="55">
        <f>B79/B80</f>
        <v/>
      </c>
    </row>
    <row r="82" ht="17" customHeight="1">
      <c r="A82" s="51" t="inlineStr">
        <is>
          <t>Current Stock Price</t>
        </is>
      </c>
      <c r="B82" s="56">
        <f>B9</f>
        <v/>
      </c>
    </row>
    <row r="83" ht="20" customHeight="1">
      <c r="A83" s="57" t="inlineStr">
        <is>
          <t>Implied Upside / (Downside)</t>
        </is>
      </c>
      <c r="B83" s="58">
        <f>B81/B82-1</f>
        <v/>
      </c>
    </row>
    <row r="85" ht="8" customHeight="1"/>
    <row r="86" ht="20" customHeight="1">
      <c r="A86" s="3" t="inlineStr">
        <is>
          <t>SENSITIVITY ANALYSIS</t>
        </is>
      </c>
    </row>
    <row r="87" ht="20" customHeight="1">
      <c r="A87" s="59" t="n"/>
      <c r="B87" s="60" t="inlineStr">
        <is>
          <t>TABLE 1 — Implied Price per Share: WACC × Terminal Growth</t>
        </is>
      </c>
      <c r="C87" s="27" t="n"/>
      <c r="D87" s="27" t="n"/>
      <c r="E87" s="27" t="n"/>
      <c r="F87" s="8" t="n"/>
    </row>
    <row r="88" ht="18" customHeight="1">
      <c r="A88" s="28" t="inlineStr">
        <is>
          <t>WACC \ TG</t>
        </is>
      </c>
      <c r="B88" s="61" t="n">
        <v>1.5</v>
      </c>
      <c r="C88" s="61" t="n">
        <v>2</v>
      </c>
      <c r="D88" s="61" t="n">
        <v>2.5</v>
      </c>
      <c r="E88" s="61" t="n">
        <v>3</v>
      </c>
      <c r="F88" s="62" t="n">
        <v>3.5</v>
      </c>
    </row>
    <row r="89" ht="18" customHeight="1">
      <c r="A89" s="63" t="n">
        <v>6.2</v>
      </c>
      <c r="B89" s="64">
        <f>(+(1/(1+6.2)^0.5)*B71+(1/(1+6.2)^1.5)*C71+(1/(1+6.2)^2.5)*D71+(1/(1+6.2)^3.5)*E71+(1/(1+6.2)^4.5)*F71+(1/(1+6.2)^5.5)*G71+(1/(1+6.2)^6.5)*H71+(1/(1+6.2)^7.5)*I71+(1/(1+6.2)^8.5)*J71+(1/(1+6.2)^9.5)*K71+((1+1.5)/(6.2-1.5))/(1+6.2)^9.5*K71-B13)/B10</f>
        <v/>
      </c>
      <c r="C89" s="64">
        <f>(+(1/(1+6.2)^0.5)*B71+(1/(1+6.2)^1.5)*C71+(1/(1+6.2)^2.5)*D71+(1/(1+6.2)^3.5)*E71+(1/(1+6.2)^4.5)*F71+(1/(1+6.2)^5.5)*G71+(1/(1+6.2)^6.5)*H71+(1/(1+6.2)^7.5)*I71+(1/(1+6.2)^8.5)*J71+(1/(1+6.2)^9.5)*K71+((1+2.0)/(6.2-2.0))/(1+6.2)^9.5*K71-B13)/B10</f>
        <v/>
      </c>
      <c r="D89" s="64">
        <f>(+(1/(1+6.2)^0.5)*B71+(1/(1+6.2)^1.5)*C71+(1/(1+6.2)^2.5)*D71+(1/(1+6.2)^3.5)*E71+(1/(1+6.2)^4.5)*F71+(1/(1+6.2)^5.5)*G71+(1/(1+6.2)^6.5)*H71+(1/(1+6.2)^7.5)*I71+(1/(1+6.2)^8.5)*J71+(1/(1+6.2)^9.5)*K71+((1+2.5)/(6.2-2.5))/(1+6.2)^9.5*K71-B13)/B10</f>
        <v/>
      </c>
      <c r="E89" s="64">
        <f>(+(1/(1+6.2)^0.5)*B71+(1/(1+6.2)^1.5)*C71+(1/(1+6.2)^2.5)*D71+(1/(1+6.2)^3.5)*E71+(1/(1+6.2)^4.5)*F71+(1/(1+6.2)^5.5)*G71+(1/(1+6.2)^6.5)*H71+(1/(1+6.2)^7.5)*I71+(1/(1+6.2)^8.5)*J71+(1/(1+6.2)^9.5)*K71+((1+3.0)/(6.2-3.0))/(1+6.2)^9.5*K71-B13)/B10</f>
        <v/>
      </c>
      <c r="F89" s="65">
        <f>(+(1/(1+6.2)^0.5)*B71+(1/(1+6.2)^1.5)*C71+(1/(1+6.2)^2.5)*D71+(1/(1+6.2)^3.5)*E71+(1/(1+6.2)^4.5)*F71+(1/(1+6.2)^5.5)*G71+(1/(1+6.2)^6.5)*H71+(1/(1+6.2)^7.5)*I71+(1/(1+6.2)^8.5)*J71+(1/(1+6.2)^9.5)*K71+((1+3.5)/(6.2-3.5))/(1+6.2)^9.5*K71-B13)/B10</f>
        <v/>
      </c>
    </row>
    <row r="90" ht="18" customHeight="1">
      <c r="A90" s="63" t="n">
        <v>6.6</v>
      </c>
      <c r="B90" s="64">
        <f>(+(1/(1+6.6)^0.5)*B71+(1/(1+6.6)^1.5)*C71+(1/(1+6.6)^2.5)*D71+(1/(1+6.6)^3.5)*E71+(1/(1+6.6)^4.5)*F71+(1/(1+6.6)^5.5)*G71+(1/(1+6.6)^6.5)*H71+(1/(1+6.6)^7.5)*I71+(1/(1+6.6)^8.5)*J71+(1/(1+6.6)^9.5)*K71+((1+1.5)/(6.6-1.5))/(1+6.6)^9.5*K71-B13)/B10</f>
        <v/>
      </c>
      <c r="C90" s="64">
        <f>(+(1/(1+6.6)^0.5)*B71+(1/(1+6.6)^1.5)*C71+(1/(1+6.6)^2.5)*D71+(1/(1+6.6)^3.5)*E71+(1/(1+6.6)^4.5)*F71+(1/(1+6.6)^5.5)*G71+(1/(1+6.6)^6.5)*H71+(1/(1+6.6)^7.5)*I71+(1/(1+6.6)^8.5)*J71+(1/(1+6.6)^9.5)*K71+((1+2.0)/(6.6-2.0))/(1+6.6)^9.5*K71-B13)/B10</f>
        <v/>
      </c>
      <c r="D90" s="64">
        <f>(+(1/(1+6.6)^0.5)*B71+(1/(1+6.6)^1.5)*C71+(1/(1+6.6)^2.5)*D71+(1/(1+6.6)^3.5)*E71+(1/(1+6.6)^4.5)*F71+(1/(1+6.6)^5.5)*G71+(1/(1+6.6)^6.5)*H71+(1/(1+6.6)^7.5)*I71+(1/(1+6.6)^8.5)*J71+(1/(1+6.6)^9.5)*K71+((1+2.5)/(6.6-2.5))/(1+6.6)^9.5*K71-B13)/B10</f>
        <v/>
      </c>
      <c r="E90" s="64">
        <f>(+(1/(1+6.6)^0.5)*B71+(1/(1+6.6)^1.5)*C71+(1/(1+6.6)^2.5)*D71+(1/(1+6.6)^3.5)*E71+(1/(1+6.6)^4.5)*F71+(1/(1+6.6)^5.5)*G71+(1/(1+6.6)^6.5)*H71+(1/(1+6.6)^7.5)*I71+(1/(1+6.6)^8.5)*J71+(1/(1+6.6)^9.5)*K71+((1+3.0)/(6.6-3.0))/(1+6.6)^9.5*K71-B13)/B10</f>
        <v/>
      </c>
      <c r="F90" s="65">
        <f>(+(1/(1+6.6)^0.5)*B71+(1/(1+6.6)^1.5)*C71+(1/(1+6.6)^2.5)*D71+(1/(1+6.6)^3.5)*E71+(1/(1+6.6)^4.5)*F71+(1/(1+6.6)^5.5)*G71+(1/(1+6.6)^6.5)*H71+(1/(1+6.6)^7.5)*I71+(1/(1+6.6)^8.5)*J71+(1/(1+6.6)^9.5)*K71+((1+3.5)/(6.6-3.5))/(1+6.6)^9.5*K71-B13)/B10</f>
        <v/>
      </c>
    </row>
    <row r="91" ht="18" customHeight="1">
      <c r="A91" s="63" t="n">
        <v>7</v>
      </c>
      <c r="B91" s="64">
        <f>(+(1/(1+7.0)^0.5)*B71+(1/(1+7.0)^1.5)*C71+(1/(1+7.0)^2.5)*D71+(1/(1+7.0)^3.5)*E71+(1/(1+7.0)^4.5)*F71+(1/(1+7.0)^5.5)*G71+(1/(1+7.0)^6.5)*H71+(1/(1+7.0)^7.5)*I71+(1/(1+7.0)^8.5)*J71+(1/(1+7.0)^9.5)*K71+((1+1.5)/(7.0-1.5))/(1+7.0)^9.5*K71-B13)/B10</f>
        <v/>
      </c>
      <c r="C91" s="64">
        <f>(+(1/(1+7.0)^0.5)*B71+(1/(1+7.0)^1.5)*C71+(1/(1+7.0)^2.5)*D71+(1/(1+7.0)^3.5)*E71+(1/(1+7.0)^4.5)*F71+(1/(1+7.0)^5.5)*G71+(1/(1+7.0)^6.5)*H71+(1/(1+7.0)^7.5)*I71+(1/(1+7.0)^8.5)*J71+(1/(1+7.0)^9.5)*K71+((1+2.0)/(7.0-2.0))/(1+7.0)^9.5*K71-B13)/B10</f>
        <v/>
      </c>
      <c r="D91" s="64">
        <f>(+(1/(1+7.0)^0.5)*B71+(1/(1+7.0)^1.5)*C71+(1/(1+7.0)^2.5)*D71+(1/(1+7.0)^3.5)*E71+(1/(1+7.0)^4.5)*F71+(1/(1+7.0)^5.5)*G71+(1/(1+7.0)^6.5)*H71+(1/(1+7.0)^7.5)*I71+(1/(1+7.0)^8.5)*J71+(1/(1+7.0)^9.5)*K71+((1+2.5)/(7.0-2.5))/(1+7.0)^9.5*K71-B13)/B10</f>
        <v/>
      </c>
      <c r="E91" s="64">
        <f>(+(1/(1+7.0)^0.5)*B71+(1/(1+7.0)^1.5)*C71+(1/(1+7.0)^2.5)*D71+(1/(1+7.0)^3.5)*E71+(1/(1+7.0)^4.5)*F71+(1/(1+7.0)^5.5)*G71+(1/(1+7.0)^6.5)*H71+(1/(1+7.0)^7.5)*I71+(1/(1+7.0)^8.5)*J71+(1/(1+7.0)^9.5)*K71+((1+3.0)/(7.0-3.0))/(1+7.0)^9.5*K71-B13)/B10</f>
        <v/>
      </c>
      <c r="F91" s="65">
        <f>(+(1/(1+7.0)^0.5)*B71+(1/(1+7.0)^1.5)*C71+(1/(1+7.0)^2.5)*D71+(1/(1+7.0)^3.5)*E71+(1/(1+7.0)^4.5)*F71+(1/(1+7.0)^5.5)*G71+(1/(1+7.0)^6.5)*H71+(1/(1+7.0)^7.5)*I71+(1/(1+7.0)^8.5)*J71+(1/(1+7.0)^9.5)*K71+((1+3.5)/(7.0-3.5))/(1+7.0)^9.5*K71-B13)/B10</f>
        <v/>
      </c>
    </row>
    <row r="92" ht="18" customHeight="1">
      <c r="A92" s="63" t="n">
        <v>7.4</v>
      </c>
      <c r="B92" s="64">
        <f>(+(1/(1+7.4)^0.5)*B71+(1/(1+7.4)^1.5)*C71+(1/(1+7.4)^2.5)*D71+(1/(1+7.4)^3.5)*E71+(1/(1+7.4)^4.5)*F71+(1/(1+7.4)^5.5)*G71+(1/(1+7.4)^6.5)*H71+(1/(1+7.4)^7.5)*I71+(1/(1+7.4)^8.5)*J71+(1/(1+7.4)^9.5)*K71+((1+1.5)/(7.4-1.5))/(1+7.4)^9.5*K71-B13)/B10</f>
        <v/>
      </c>
      <c r="C92" s="64">
        <f>(+(1/(1+7.4)^0.5)*B71+(1/(1+7.4)^1.5)*C71+(1/(1+7.4)^2.5)*D71+(1/(1+7.4)^3.5)*E71+(1/(1+7.4)^4.5)*F71+(1/(1+7.4)^5.5)*G71+(1/(1+7.4)^6.5)*H71+(1/(1+7.4)^7.5)*I71+(1/(1+7.4)^8.5)*J71+(1/(1+7.4)^9.5)*K71+((1+2.0)/(7.4-2.0))/(1+7.4)^9.5*K71-B13)/B10</f>
        <v/>
      </c>
      <c r="D92" s="64">
        <f>(+(1/(1+7.4)^0.5)*B71+(1/(1+7.4)^1.5)*C71+(1/(1+7.4)^2.5)*D71+(1/(1+7.4)^3.5)*E71+(1/(1+7.4)^4.5)*F71+(1/(1+7.4)^5.5)*G71+(1/(1+7.4)^6.5)*H71+(1/(1+7.4)^7.5)*I71+(1/(1+7.4)^8.5)*J71+(1/(1+7.4)^9.5)*K71+((1+2.5)/(7.4-2.5))/(1+7.4)^9.5*K71-B13)/B10</f>
        <v/>
      </c>
      <c r="E92" s="64">
        <f>(+(1/(1+7.4)^0.5)*B71+(1/(1+7.4)^1.5)*C71+(1/(1+7.4)^2.5)*D71+(1/(1+7.4)^3.5)*E71+(1/(1+7.4)^4.5)*F71+(1/(1+7.4)^5.5)*G71+(1/(1+7.4)^6.5)*H71+(1/(1+7.4)^7.5)*I71+(1/(1+7.4)^8.5)*J71+(1/(1+7.4)^9.5)*K71+((1+3.0)/(7.4-3.0))/(1+7.4)^9.5*K71-B13)/B10</f>
        <v/>
      </c>
      <c r="F92" s="65">
        <f>(+(1/(1+7.4)^0.5)*B71+(1/(1+7.4)^1.5)*C71+(1/(1+7.4)^2.5)*D71+(1/(1+7.4)^3.5)*E71+(1/(1+7.4)^4.5)*F71+(1/(1+7.4)^5.5)*G71+(1/(1+7.4)^6.5)*H71+(1/(1+7.4)^7.5)*I71+(1/(1+7.4)^8.5)*J71+(1/(1+7.4)^9.5)*K71+((1+3.5)/(7.4-3.5))/(1+7.4)^9.5*K71-B13)/B10</f>
        <v/>
      </c>
    </row>
    <row r="93" ht="18" customHeight="1">
      <c r="A93" s="66" t="n">
        <v>7.8</v>
      </c>
      <c r="B93" s="67">
        <f>(+(1/(1+7.8)^0.5)*B71+(1/(1+7.8)^1.5)*C71+(1/(1+7.8)^2.5)*D71+(1/(1+7.8)^3.5)*E71+(1/(1+7.8)^4.5)*F71+(1/(1+7.8)^5.5)*G71+(1/(1+7.8)^6.5)*H71+(1/(1+7.8)^7.5)*I71+(1/(1+7.8)^8.5)*J71+(1/(1+7.8)^9.5)*K71+((1+1.5)/(7.8-1.5))/(1+7.8)^9.5*K71-B13)/B10</f>
        <v/>
      </c>
      <c r="C93" s="67">
        <f>(+(1/(1+7.8)^0.5)*B71+(1/(1+7.8)^1.5)*C71+(1/(1+7.8)^2.5)*D71+(1/(1+7.8)^3.5)*E71+(1/(1+7.8)^4.5)*F71+(1/(1+7.8)^5.5)*G71+(1/(1+7.8)^6.5)*H71+(1/(1+7.8)^7.5)*I71+(1/(1+7.8)^8.5)*J71+(1/(1+7.8)^9.5)*K71+((1+2.0)/(7.8-2.0))/(1+7.8)^9.5*K71-B13)/B10</f>
        <v/>
      </c>
      <c r="D93" s="67">
        <f>(+(1/(1+7.8)^0.5)*B71+(1/(1+7.8)^1.5)*C71+(1/(1+7.8)^2.5)*D71+(1/(1+7.8)^3.5)*E71+(1/(1+7.8)^4.5)*F71+(1/(1+7.8)^5.5)*G71+(1/(1+7.8)^6.5)*H71+(1/(1+7.8)^7.5)*I71+(1/(1+7.8)^8.5)*J71+(1/(1+7.8)^9.5)*K71+((1+2.5)/(7.8-2.5))/(1+7.8)^9.5*K71-B13)/B10</f>
        <v/>
      </c>
      <c r="E93" s="67">
        <f>(+(1/(1+7.8)^0.5)*B71+(1/(1+7.8)^1.5)*C71+(1/(1+7.8)^2.5)*D71+(1/(1+7.8)^3.5)*E71+(1/(1+7.8)^4.5)*F71+(1/(1+7.8)^5.5)*G71+(1/(1+7.8)^6.5)*H71+(1/(1+7.8)^7.5)*I71+(1/(1+7.8)^8.5)*J71+(1/(1+7.8)^9.5)*K71+((1+3.0)/(7.8-3.0))/(1+7.8)^9.5*K71-B13)/B10</f>
        <v/>
      </c>
      <c r="F93" s="68">
        <f>(+(1/(1+7.8)^0.5)*B71+(1/(1+7.8)^1.5)*C71+(1/(1+7.8)^2.5)*D71+(1/(1+7.8)^3.5)*E71+(1/(1+7.8)^4.5)*F71+(1/(1+7.8)^5.5)*G71+(1/(1+7.8)^6.5)*H71+(1/(1+7.8)^7.5)*I71+(1/(1+7.8)^8.5)*J71+(1/(1+7.8)^9.5)*K71+((1+3.5)/(7.8-3.5))/(1+7.8)^9.5*K71-B13)/B10</f>
        <v/>
      </c>
    </row>
    <row r="94" ht="8" customHeight="1"/>
    <row r="95" ht="20" customHeight="1">
      <c r="A95" s="59" t="n"/>
      <c r="B95" s="60" t="inlineStr">
        <is>
          <t>TABLE 2 — Implied Price per Share: WACC × Exit Multiple (EV/EBITDA)</t>
        </is>
      </c>
      <c r="C95" s="27" t="n"/>
      <c r="D95" s="27" t="n"/>
      <c r="E95" s="27" t="n"/>
      <c r="F95" s="8" t="n"/>
    </row>
    <row r="96" ht="18" customHeight="1">
      <c r="A96" s="28" t="inlineStr">
        <is>
          <t>WACC \ Exit Mult</t>
        </is>
      </c>
      <c r="B96" s="69" t="n">
        <v>14</v>
      </c>
      <c r="C96" s="69" t="n">
        <v>16</v>
      </c>
      <c r="D96" s="69" t="n">
        <v>18</v>
      </c>
      <c r="E96" s="69" t="n">
        <v>20</v>
      </c>
      <c r="F96" s="70" t="n">
        <v>22</v>
      </c>
    </row>
    <row r="97" ht="18" customHeight="1">
      <c r="A97" s="63" t="n">
        <v>6.2</v>
      </c>
      <c r="B97" s="64">
        <f>(+(1/(1+6.2)^0.5)*B71+(1/(1+6.2)^1.5)*C71+(1/(1+6.2)^2.5)*D71+(1/(1+6.2)^3.5)*E71+(1/(1+6.2)^4.5)*F71+(1/(1+6.2)^5.5)*G71+(1/(1+6.2)^6.5)*H71+(1/(1+6.2)^7.5)*I71+(1/(1+6.2)^8.5)*J71+(1/(1+6.2)^9.5)*K71+((K61+K64)*14)/(1+6.2)^9.5-B13)/B10</f>
        <v/>
      </c>
      <c r="C97" s="64">
        <f>(+(1/(1+6.2)^0.5)*B71+(1/(1+6.2)^1.5)*C71+(1/(1+6.2)^2.5)*D71+(1/(1+6.2)^3.5)*E71+(1/(1+6.2)^4.5)*F71+(1/(1+6.2)^5.5)*G71+(1/(1+6.2)^6.5)*H71+(1/(1+6.2)^7.5)*I71+(1/(1+6.2)^8.5)*J71+(1/(1+6.2)^9.5)*K71+((K61+K64)*16)/(1+6.2)^9.5-B13)/B10</f>
        <v/>
      </c>
      <c r="D97" s="64">
        <f>(+(1/(1+6.2)^0.5)*B71+(1/(1+6.2)^1.5)*C71+(1/(1+6.2)^2.5)*D71+(1/(1+6.2)^3.5)*E71+(1/(1+6.2)^4.5)*F71+(1/(1+6.2)^5.5)*G71+(1/(1+6.2)^6.5)*H71+(1/(1+6.2)^7.5)*I71+(1/(1+6.2)^8.5)*J71+(1/(1+6.2)^9.5)*K71+((K61+K64)*18)/(1+6.2)^9.5-B13)/B10</f>
        <v/>
      </c>
      <c r="E97" s="64">
        <f>(+(1/(1+6.2)^0.5)*B71+(1/(1+6.2)^1.5)*C71+(1/(1+6.2)^2.5)*D71+(1/(1+6.2)^3.5)*E71+(1/(1+6.2)^4.5)*F71+(1/(1+6.2)^5.5)*G71+(1/(1+6.2)^6.5)*H71+(1/(1+6.2)^7.5)*I71+(1/(1+6.2)^8.5)*J71+(1/(1+6.2)^9.5)*K71+((K61+K64)*20)/(1+6.2)^9.5-B13)/B10</f>
        <v/>
      </c>
      <c r="F97" s="65">
        <f>(+(1/(1+6.2)^0.5)*B71+(1/(1+6.2)^1.5)*C71+(1/(1+6.2)^2.5)*D71+(1/(1+6.2)^3.5)*E71+(1/(1+6.2)^4.5)*F71+(1/(1+6.2)^5.5)*G71+(1/(1+6.2)^6.5)*H71+(1/(1+6.2)^7.5)*I71+(1/(1+6.2)^8.5)*J71+(1/(1+6.2)^9.5)*K71+((K61+K64)*22)/(1+6.2)^9.5-B13)/B10</f>
        <v/>
      </c>
    </row>
    <row r="98" ht="18" customHeight="1">
      <c r="A98" s="63" t="n">
        <v>6.6</v>
      </c>
      <c r="B98" s="64">
        <f>(+(1/(1+6.6)^0.5)*B71+(1/(1+6.6)^1.5)*C71+(1/(1+6.6)^2.5)*D71+(1/(1+6.6)^3.5)*E71+(1/(1+6.6)^4.5)*F71+(1/(1+6.6)^5.5)*G71+(1/(1+6.6)^6.5)*H71+(1/(1+6.6)^7.5)*I71+(1/(1+6.6)^8.5)*J71+(1/(1+6.6)^9.5)*K71+((K61+K64)*14)/(1+6.6)^9.5-B13)/B10</f>
        <v/>
      </c>
      <c r="C98" s="64">
        <f>(+(1/(1+6.6)^0.5)*B71+(1/(1+6.6)^1.5)*C71+(1/(1+6.6)^2.5)*D71+(1/(1+6.6)^3.5)*E71+(1/(1+6.6)^4.5)*F71+(1/(1+6.6)^5.5)*G71+(1/(1+6.6)^6.5)*H71+(1/(1+6.6)^7.5)*I71+(1/(1+6.6)^8.5)*J71+(1/(1+6.6)^9.5)*K71+((K61+K64)*16)/(1+6.6)^9.5-B13)/B10</f>
        <v/>
      </c>
      <c r="D98" s="64">
        <f>(+(1/(1+6.6)^0.5)*B71+(1/(1+6.6)^1.5)*C71+(1/(1+6.6)^2.5)*D71+(1/(1+6.6)^3.5)*E71+(1/(1+6.6)^4.5)*F71+(1/(1+6.6)^5.5)*G71+(1/(1+6.6)^6.5)*H71+(1/(1+6.6)^7.5)*I71+(1/(1+6.6)^8.5)*J71+(1/(1+6.6)^9.5)*K71+((K61+K64)*18)/(1+6.6)^9.5-B13)/B10</f>
        <v/>
      </c>
      <c r="E98" s="64">
        <f>(+(1/(1+6.6)^0.5)*B71+(1/(1+6.6)^1.5)*C71+(1/(1+6.6)^2.5)*D71+(1/(1+6.6)^3.5)*E71+(1/(1+6.6)^4.5)*F71+(1/(1+6.6)^5.5)*G71+(1/(1+6.6)^6.5)*H71+(1/(1+6.6)^7.5)*I71+(1/(1+6.6)^8.5)*J71+(1/(1+6.6)^9.5)*K71+((K61+K64)*20)/(1+6.6)^9.5-B13)/B10</f>
        <v/>
      </c>
      <c r="F98" s="65">
        <f>(+(1/(1+6.6)^0.5)*B71+(1/(1+6.6)^1.5)*C71+(1/(1+6.6)^2.5)*D71+(1/(1+6.6)^3.5)*E71+(1/(1+6.6)^4.5)*F71+(1/(1+6.6)^5.5)*G71+(1/(1+6.6)^6.5)*H71+(1/(1+6.6)^7.5)*I71+(1/(1+6.6)^8.5)*J71+(1/(1+6.6)^9.5)*K71+((K61+K64)*22)/(1+6.6)^9.5-B13)/B10</f>
        <v/>
      </c>
    </row>
    <row r="99" ht="18" customHeight="1">
      <c r="A99" s="63" t="n">
        <v>7</v>
      </c>
      <c r="B99" s="64">
        <f>(+(1/(1+7.0)^0.5)*B71+(1/(1+7.0)^1.5)*C71+(1/(1+7.0)^2.5)*D71+(1/(1+7.0)^3.5)*E71+(1/(1+7.0)^4.5)*F71+(1/(1+7.0)^5.5)*G71+(1/(1+7.0)^6.5)*H71+(1/(1+7.0)^7.5)*I71+(1/(1+7.0)^8.5)*J71+(1/(1+7.0)^9.5)*K71+((K61+K64)*14)/(1+7.0)^9.5-B13)/B10</f>
        <v/>
      </c>
      <c r="C99" s="64">
        <f>(+(1/(1+7.0)^0.5)*B71+(1/(1+7.0)^1.5)*C71+(1/(1+7.0)^2.5)*D71+(1/(1+7.0)^3.5)*E71+(1/(1+7.0)^4.5)*F71+(1/(1+7.0)^5.5)*G71+(1/(1+7.0)^6.5)*H71+(1/(1+7.0)^7.5)*I71+(1/(1+7.0)^8.5)*J71+(1/(1+7.0)^9.5)*K71+((K61+K64)*16)/(1+7.0)^9.5-B13)/B10</f>
        <v/>
      </c>
      <c r="D99" s="64">
        <f>(+(1/(1+7.0)^0.5)*B71+(1/(1+7.0)^1.5)*C71+(1/(1+7.0)^2.5)*D71+(1/(1+7.0)^3.5)*E71+(1/(1+7.0)^4.5)*F71+(1/(1+7.0)^5.5)*G71+(1/(1+7.0)^6.5)*H71+(1/(1+7.0)^7.5)*I71+(1/(1+7.0)^8.5)*J71+(1/(1+7.0)^9.5)*K71+((K61+K64)*18)/(1+7.0)^9.5-B13)/B10</f>
        <v/>
      </c>
      <c r="E99" s="64">
        <f>(+(1/(1+7.0)^0.5)*B71+(1/(1+7.0)^1.5)*C71+(1/(1+7.0)^2.5)*D71+(1/(1+7.0)^3.5)*E71+(1/(1+7.0)^4.5)*F71+(1/(1+7.0)^5.5)*G71+(1/(1+7.0)^6.5)*H71+(1/(1+7.0)^7.5)*I71+(1/(1+7.0)^8.5)*J71+(1/(1+7.0)^9.5)*K71+((K61+K64)*20)/(1+7.0)^9.5-B13)/B10</f>
        <v/>
      </c>
      <c r="F99" s="65">
        <f>(+(1/(1+7.0)^0.5)*B71+(1/(1+7.0)^1.5)*C71+(1/(1+7.0)^2.5)*D71+(1/(1+7.0)^3.5)*E71+(1/(1+7.0)^4.5)*F71+(1/(1+7.0)^5.5)*G71+(1/(1+7.0)^6.5)*H71+(1/(1+7.0)^7.5)*I71+(1/(1+7.0)^8.5)*J71+(1/(1+7.0)^9.5)*K71+((K61+K64)*22)/(1+7.0)^9.5-B13)/B10</f>
        <v/>
      </c>
    </row>
    <row r="100" ht="18" customHeight="1">
      <c r="A100" s="63" t="n">
        <v>7.4</v>
      </c>
      <c r="B100" s="64">
        <f>(+(1/(1+7.4)^0.5)*B71+(1/(1+7.4)^1.5)*C71+(1/(1+7.4)^2.5)*D71+(1/(1+7.4)^3.5)*E71+(1/(1+7.4)^4.5)*F71+(1/(1+7.4)^5.5)*G71+(1/(1+7.4)^6.5)*H71+(1/(1+7.4)^7.5)*I71+(1/(1+7.4)^8.5)*J71+(1/(1+7.4)^9.5)*K71+((K61+K64)*14)/(1+7.4)^9.5-B13)/B10</f>
        <v/>
      </c>
      <c r="C100" s="64">
        <f>(+(1/(1+7.4)^0.5)*B71+(1/(1+7.4)^1.5)*C71+(1/(1+7.4)^2.5)*D71+(1/(1+7.4)^3.5)*E71+(1/(1+7.4)^4.5)*F71+(1/(1+7.4)^5.5)*G71+(1/(1+7.4)^6.5)*H71+(1/(1+7.4)^7.5)*I71+(1/(1+7.4)^8.5)*J71+(1/(1+7.4)^9.5)*K71+((K61+K64)*16)/(1+7.4)^9.5-B13)/B10</f>
        <v/>
      </c>
      <c r="D100" s="64">
        <f>(+(1/(1+7.4)^0.5)*B71+(1/(1+7.4)^1.5)*C71+(1/(1+7.4)^2.5)*D71+(1/(1+7.4)^3.5)*E71+(1/(1+7.4)^4.5)*F71+(1/(1+7.4)^5.5)*G71+(1/(1+7.4)^6.5)*H71+(1/(1+7.4)^7.5)*I71+(1/(1+7.4)^8.5)*J71+(1/(1+7.4)^9.5)*K71+((K61+K64)*18)/(1+7.4)^9.5-B13)/B10</f>
        <v/>
      </c>
      <c r="E100" s="64">
        <f>(+(1/(1+7.4)^0.5)*B71+(1/(1+7.4)^1.5)*C71+(1/(1+7.4)^2.5)*D71+(1/(1+7.4)^3.5)*E71+(1/(1+7.4)^4.5)*F71+(1/(1+7.4)^5.5)*G71+(1/(1+7.4)^6.5)*H71+(1/(1+7.4)^7.5)*I71+(1/(1+7.4)^8.5)*J71+(1/(1+7.4)^9.5)*K71+((K61+K64)*20)/(1+7.4)^9.5-B13)/B10</f>
        <v/>
      </c>
      <c r="F100" s="65">
        <f>(+(1/(1+7.4)^0.5)*B71+(1/(1+7.4)^1.5)*C71+(1/(1+7.4)^2.5)*D71+(1/(1+7.4)^3.5)*E71+(1/(1+7.4)^4.5)*F71+(1/(1+7.4)^5.5)*G71+(1/(1+7.4)^6.5)*H71+(1/(1+7.4)^7.5)*I71+(1/(1+7.4)^8.5)*J71+(1/(1+7.4)^9.5)*K71+((K61+K64)*22)/(1+7.4)^9.5-B13)/B10</f>
        <v/>
      </c>
    </row>
    <row r="101" ht="18" customHeight="1">
      <c r="A101" s="66" t="n">
        <v>7.8</v>
      </c>
      <c r="B101" s="67">
        <f>(+(1/(1+7.8)^0.5)*B71+(1/(1+7.8)^1.5)*C71+(1/(1+7.8)^2.5)*D71+(1/(1+7.8)^3.5)*E71+(1/(1+7.8)^4.5)*F71+(1/(1+7.8)^5.5)*G71+(1/(1+7.8)^6.5)*H71+(1/(1+7.8)^7.5)*I71+(1/(1+7.8)^8.5)*J71+(1/(1+7.8)^9.5)*K71+((K61+K64)*14)/(1+7.8)^9.5-B13)/B10</f>
        <v/>
      </c>
      <c r="C101" s="67">
        <f>(+(1/(1+7.8)^0.5)*B71+(1/(1+7.8)^1.5)*C71+(1/(1+7.8)^2.5)*D71+(1/(1+7.8)^3.5)*E71+(1/(1+7.8)^4.5)*F71+(1/(1+7.8)^5.5)*G71+(1/(1+7.8)^6.5)*H71+(1/(1+7.8)^7.5)*I71+(1/(1+7.8)^8.5)*J71+(1/(1+7.8)^9.5)*K71+((K61+K64)*16)/(1+7.8)^9.5-B13)/B10</f>
        <v/>
      </c>
      <c r="D101" s="67">
        <f>(+(1/(1+7.8)^0.5)*B71+(1/(1+7.8)^1.5)*C71+(1/(1+7.8)^2.5)*D71+(1/(1+7.8)^3.5)*E71+(1/(1+7.8)^4.5)*F71+(1/(1+7.8)^5.5)*G71+(1/(1+7.8)^6.5)*H71+(1/(1+7.8)^7.5)*I71+(1/(1+7.8)^8.5)*J71+(1/(1+7.8)^9.5)*K71+((K61+K64)*18)/(1+7.8)^9.5-B13)/B10</f>
        <v/>
      </c>
      <c r="E101" s="67">
        <f>(+(1/(1+7.8)^0.5)*B71+(1/(1+7.8)^1.5)*C71+(1/(1+7.8)^2.5)*D71+(1/(1+7.8)^3.5)*E71+(1/(1+7.8)^4.5)*F71+(1/(1+7.8)^5.5)*G71+(1/(1+7.8)^6.5)*H71+(1/(1+7.8)^7.5)*I71+(1/(1+7.8)^8.5)*J71+(1/(1+7.8)^9.5)*K71+((K61+K64)*20)/(1+7.8)^9.5-B13)/B10</f>
        <v/>
      </c>
      <c r="F101" s="68">
        <f>(+(1/(1+7.8)^0.5)*B71+(1/(1+7.8)^1.5)*C71+(1/(1+7.8)^2.5)*D71+(1/(1+7.8)^3.5)*E71+(1/(1+7.8)^4.5)*F71+(1/(1+7.8)^5.5)*G71+(1/(1+7.8)^6.5)*H71+(1/(1+7.8)^7.5)*I71+(1/(1+7.8)^8.5)*J71+(1/(1+7.8)^9.5)*K71+((K61+K64)*22)/(1+7.8)^9.5-B13)/B10</f>
        <v/>
      </c>
    </row>
    <row r="103" ht="8" customHeight="1"/>
    <row r="104" ht="18" customHeight="1">
      <c r="A104" s="6" t="inlineStr">
        <is>
          <t>KEY ASSUMPTIONS &amp; NOTES</t>
        </is>
      </c>
    </row>
    <row r="105" ht="15" customHeight="1">
      <c r="A105" s="2" t="inlineStr">
        <is>
          <t>• WACC = 7.40% (Morningstar moat report Dec 2025; Costco net-cash → WACC ≈ Cost of Equity)</t>
        </is>
      </c>
    </row>
    <row r="106" ht="15" customHeight="1">
      <c r="A106" s="2" t="inlineStr">
        <is>
          <t>• Beta = 0.91 (5Y monthly vs S&amp;P 500; source: Investing.com / Yahoo Finance)</t>
        </is>
      </c>
    </row>
    <row r="107" ht="15" customHeight="1">
      <c r="A107" s="2" t="inlineStr">
        <is>
          <t>• Risk-free rate = 4.30% (10Y UST yield; DDG Web Search 2026-05-22)</t>
        </is>
      </c>
    </row>
    <row r="108" ht="15" customHeight="1">
      <c r="A108" s="2" t="inlineStr">
        <is>
          <t>• ERP = 5.5% (historical standard); Cost of Equity (CAPM) = 9.31%</t>
        </is>
      </c>
    </row>
    <row r="109" ht="15" customHeight="1">
      <c r="A109" s="2" t="inlineStr">
        <is>
          <t>• Terminal growth = 2.5% (aligned with long-run GDP; must be &lt; WACC)</t>
        </is>
      </c>
    </row>
    <row r="110" ht="15" customHeight="1">
      <c r="A110" s="2" t="inlineStr">
        <is>
          <t>• Base EBIT margin expands 4.0% (FY2025E) → 5.2% (FY2034E) — operating leverage</t>
        </is>
      </c>
    </row>
    <row r="111" ht="15" customHeight="1">
      <c r="A111" s="2" t="inlineStr">
        <is>
          <t>• D&amp;A ≈ 1.7% of revenue; CapEx ≈ 1.7% (maintenance &amp; growth); Tax = 26%</t>
        </is>
      </c>
    </row>
    <row r="112" ht="15" customHeight="1">
      <c r="A112" s="2" t="inlineStr">
        <is>
          <t>• Net cash position: $11.1B cash &gt; $10.0B debt → Net Debt = -$1.1B adds to equity</t>
        </is>
      </c>
    </row>
    <row r="113" ht="15" customHeight="1">
      <c r="A113" s="2" t="inlineStr">
        <is>
          <t>• Shares = 443.65M diluted (10-K FY2024); Revenue: FY2025E consensus ~$270B (+8%)</t>
        </is>
      </c>
    </row>
    <row r="114" ht="15" customHeight="1">
      <c r="A114" s="2" t="inlineStr">
        <is>
          <t>• Sensitivity tables use full DCF recalculation — NOT linear approximations</t>
        </is>
      </c>
    </row>
  </sheetData>
  <mergeCells count="23">
    <mergeCell ref="A106:M106"/>
    <mergeCell ref="C5:D5"/>
    <mergeCell ref="A4:M4"/>
    <mergeCell ref="A109:M109"/>
    <mergeCell ref="B95:K95"/>
    <mergeCell ref="A112:M112"/>
    <mergeCell ref="A33:L33"/>
    <mergeCell ref="A111:M111"/>
    <mergeCell ref="A22:L22"/>
    <mergeCell ref="A114:M114"/>
    <mergeCell ref="A107:M107"/>
    <mergeCell ref="A110:M110"/>
    <mergeCell ref="A44:L44"/>
    <mergeCell ref="A7:M7"/>
    <mergeCell ref="A108:M108"/>
    <mergeCell ref="A105:M105"/>
    <mergeCell ref="A21:M21"/>
    <mergeCell ref="A86:M86"/>
    <mergeCell ref="B87:K87"/>
    <mergeCell ref="A104:M104"/>
    <mergeCell ref="A57:M57"/>
    <mergeCell ref="A113:M113"/>
    <mergeCell ref="A69:L6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8" customHeight="1">
      <c r="A1" s="71" t="inlineStr">
        <is>
          <t>Costco Wholesale Corporation — WACC Build (CAPM)</t>
        </is>
      </c>
    </row>
    <row r="2" ht="14" customHeight="1">
      <c r="A2" s="2" t="inlineStr">
        <is>
          <t>Date: May 22, 2026  |  Source: FactSet, Company Filings, Market Data</t>
        </is>
      </c>
    </row>
    <row r="3" ht="8" customHeight="1"/>
    <row r="4" ht="20" customHeight="1">
      <c r="A4" s="7" t="inlineStr">
        <is>
          <t>COST OF EQUITY (CAPM)</t>
        </is>
      </c>
      <c r="B4" s="27" t="n"/>
      <c r="C4" s="27" t="n"/>
      <c r="D4" s="27" t="n"/>
      <c r="E4" s="8" t="n"/>
    </row>
    <row r="5" ht="14" customHeight="1">
      <c r="A5" s="72" t="inlineStr">
        <is>
          <t>Formula: Cost of Equity = Risk-Free Rate + Beta × Equity Risk Premium</t>
        </is>
      </c>
      <c r="B5" s="73" t="n"/>
      <c r="C5" s="73" t="n"/>
      <c r="D5" s="73" t="n"/>
      <c r="E5" s="10" t="n"/>
    </row>
    <row r="6" ht="16" customHeight="1">
      <c r="A6" s="39" t="inlineStr">
        <is>
          <t>Input</t>
        </is>
      </c>
      <c r="B6" s="74" t="inlineStr">
        <is>
          <t>Value</t>
        </is>
      </c>
      <c r="C6" s="74" t="inlineStr">
        <is>
          <t>Formula / Source</t>
        </is>
      </c>
      <c r="D6" s="74" t="inlineStr"/>
      <c r="E6" s="75" t="inlineStr"/>
    </row>
    <row r="7" ht="17" customHeight="1">
      <c r="A7" s="51" t="inlineStr">
        <is>
          <t>Risk-Free Rate (10Y UST)</t>
        </is>
      </c>
      <c r="B7" s="76" t="n">
        <v>0.043</v>
      </c>
      <c r="C7" s="77" t="inlineStr">
        <is>
          <t>DDG Web Search — 10Y Treasury ~4.30% (2026-05-22)</t>
        </is>
      </c>
      <c r="D7" s="73" t="n"/>
      <c r="E7" s="10" t="n"/>
    </row>
    <row r="8" ht="17" customHeight="1">
      <c r="A8" s="51" t="inlineStr">
        <is>
          <t>Equity Risk Premium (ERP)</t>
        </is>
      </c>
      <c r="B8" s="76" t="n">
        <v>0.055</v>
      </c>
      <c r="C8" s="77" t="inlineStr">
        <is>
          <t>Historical standard; typical range 5.0–6.0% for large-cap US equities</t>
        </is>
      </c>
      <c r="D8" s="73" t="n"/>
      <c r="E8" s="10" t="n"/>
    </row>
    <row r="9" ht="17" customHeight="1">
      <c r="A9" s="51" t="inlineStr">
        <is>
          <t>Beta (5-Year Monthly)</t>
        </is>
      </c>
      <c r="B9" s="78" t="n">
        <v>0.91</v>
      </c>
      <c r="C9" s="77" t="inlineStr">
        <is>
          <t>Source: Investing.com / Yahoo Finance — 5-year monthly beta vs S&amp;P 500</t>
        </is>
      </c>
      <c r="D9" s="73" t="n"/>
      <c r="E9" s="10" t="n"/>
    </row>
    <row r="10" ht="20" customHeight="1">
      <c r="A10" s="79" t="inlineStr">
        <is>
          <t>Cost of Equity (CAPM)</t>
        </is>
      </c>
      <c r="B10" s="80">
        <f>B7+B9*B8</f>
        <v/>
      </c>
      <c r="C10" s="81">
        <f> 4.30% + 0.91 × 5.50% = 9.31%</f>
        <v/>
      </c>
      <c r="D10" s="82" t="n"/>
      <c r="E10" s="20" t="n"/>
    </row>
    <row r="11" ht="8" customHeight="1"/>
    <row r="12" ht="20" customHeight="1">
      <c r="A12" s="7" t="inlineStr">
        <is>
          <t>COST OF DEBT</t>
        </is>
      </c>
      <c r="B12" s="27" t="n"/>
      <c r="C12" s="27" t="n"/>
      <c r="D12" s="27" t="n"/>
      <c r="E12" s="8" t="n"/>
    </row>
    <row r="13" ht="17" customHeight="1">
      <c r="A13" s="51" t="inlineStr">
        <is>
          <t>Pre-Tax Cost of Debt</t>
        </is>
      </c>
      <c r="B13" s="76" t="n">
        <v>0.043</v>
      </c>
      <c r="C13" s="77" t="inlineStr">
        <is>
          <t>Weighted avg coupon on Senior Notes (~4.3%); Moody's Aa2 credit rating</t>
        </is>
      </c>
      <c r="D13" s="73" t="n"/>
      <c r="E13" s="10" t="n"/>
    </row>
    <row r="14" ht="17" customHeight="1">
      <c r="A14" s="51" t="inlineStr">
        <is>
          <t>Tax Rate (effective)</t>
        </is>
      </c>
      <c r="B14" s="76" t="n">
        <v>0.26</v>
      </c>
      <c r="C14" s="77" t="inlineStr">
        <is>
          <t>Source: 10-K FY2024 effective tax rate ~26.0%</t>
        </is>
      </c>
      <c r="D14" s="73" t="n"/>
      <c r="E14" s="10" t="n"/>
    </row>
    <row r="15" ht="20" customHeight="1">
      <c r="A15" s="79" t="inlineStr">
        <is>
          <t>After-Tax Cost of Debt</t>
        </is>
      </c>
      <c r="B15" s="80">
        <f>B13*(1-B14)</f>
        <v/>
      </c>
      <c r="C15" s="81">
        <f> 4.30% × (1 - 26%) ≈ 3.18%</f>
        <v/>
      </c>
      <c r="D15" s="82" t="n"/>
      <c r="E15" s="20" t="n"/>
    </row>
    <row r="16" ht="8" customHeight="1"/>
    <row r="17" ht="20" customHeight="1">
      <c r="A17" s="7" t="inlineStr">
        <is>
          <t>CAPITAL STRUCTURE</t>
        </is>
      </c>
      <c r="B17" s="27" t="n"/>
      <c r="C17" s="27" t="n"/>
      <c r="D17" s="27" t="n"/>
      <c r="E17" s="8" t="n"/>
    </row>
    <row r="18" ht="17" customHeight="1">
      <c r="A18" s="51" t="inlineStr">
        <is>
          <t>Current Stock Price ($)</t>
        </is>
      </c>
      <c r="B18" s="83">
        <f>'DCF'!B9</f>
        <v/>
      </c>
      <c r="C18" s="77" t="inlineStr">
        <is>
          <t>FactSet/Morningstar 2026-05-20 close: $1,074.01</t>
        </is>
      </c>
      <c r="D18" s="73" t="n"/>
      <c r="E18" s="10" t="n"/>
    </row>
    <row r="19" ht="17" customHeight="1">
      <c r="A19" s="51" t="inlineStr">
        <is>
          <t>Diluted Shares Outstanding (M)</t>
        </is>
      </c>
      <c r="B19" s="84">
        <f>'DCF'!B10</f>
        <v/>
      </c>
      <c r="C19" s="77" t="inlineStr">
        <is>
          <t>Source: 10-K FY2024; FactSet 10-Q</t>
        </is>
      </c>
      <c r="D19" s="73" t="n"/>
      <c r="E19" s="10" t="n"/>
    </row>
    <row r="20" ht="17" customHeight="1">
      <c r="A20" s="51" t="inlineStr">
        <is>
          <t>Market Capitalization ($M)</t>
        </is>
      </c>
      <c r="B20" s="32">
        <f>B18*B19</f>
        <v/>
      </c>
      <c r="C20" s="73" t="n"/>
      <c r="D20" s="73" t="n"/>
      <c r="E20" s="10" t="n"/>
    </row>
    <row r="21" ht="17" customHeight="1">
      <c r="A21" s="51" t="inlineStr">
        <is>
          <t>Total Debt ($M)</t>
        </is>
      </c>
      <c r="B21" s="85" t="n">
        <v>10000</v>
      </c>
      <c r="C21" s="77" t="inlineStr">
        <is>
          <t>Source: 10-K FY2024; Senior Notes + financing leases ≈ $10B</t>
        </is>
      </c>
      <c r="D21" s="73" t="n"/>
      <c r="E21" s="10" t="n"/>
    </row>
    <row r="22" ht="17" customHeight="1">
      <c r="A22" s="51" t="inlineStr">
        <is>
          <t>Cash &amp; Equivalents ($M)</t>
        </is>
      </c>
      <c r="B22" s="85" t="n">
        <v>11144</v>
      </c>
      <c r="C22" s="77" t="inlineStr">
        <is>
          <t>Source: 10-K FY2024; $11.1B cash &amp; short-term investments</t>
        </is>
      </c>
      <c r="D22" s="73" t="n"/>
      <c r="E22" s="10" t="n"/>
    </row>
    <row r="23" ht="17" customHeight="1">
      <c r="A23" s="51" t="inlineStr">
        <is>
          <t>Net Debt ($M)</t>
        </is>
      </c>
      <c r="B23" s="32">
        <f>B21-B22</f>
        <v/>
      </c>
      <c r="C23" s="73" t="n"/>
      <c r="D23" s="73" t="n"/>
      <c r="E23" s="10" t="n"/>
    </row>
    <row r="24" ht="17" customHeight="1">
      <c r="A24" s="86" t="inlineStr">
        <is>
          <t>Enterprise Value ($M)</t>
        </is>
      </c>
      <c r="B24" s="87">
        <f>B20+B23</f>
        <v/>
      </c>
      <c r="C24" s="82" t="n"/>
      <c r="D24" s="82" t="n"/>
      <c r="E24" s="20" t="n"/>
    </row>
    <row r="25" ht="8" customHeight="1"/>
    <row r="26" ht="20" customHeight="1">
      <c r="A26" s="7" t="inlineStr">
        <is>
          <t>WACC CALCULATION</t>
        </is>
      </c>
      <c r="B26" s="27" t="n"/>
      <c r="C26" s="27" t="n"/>
      <c r="D26" s="27" t="n"/>
      <c r="E26" s="8" t="n"/>
    </row>
    <row r="27" ht="16" customHeight="1">
      <c r="A27" s="39" t="inlineStr">
        <is>
          <t>Component</t>
        </is>
      </c>
      <c r="B27" s="74" t="inlineStr">
        <is>
          <t>Weight</t>
        </is>
      </c>
      <c r="C27" s="74" t="inlineStr">
        <is>
          <t>Cost</t>
        </is>
      </c>
      <c r="D27" s="74" t="inlineStr">
        <is>
          <t>Contribution</t>
        </is>
      </c>
      <c r="E27" s="75" t="inlineStr"/>
    </row>
    <row r="28" ht="17" customHeight="1">
      <c r="A28" s="51" t="inlineStr">
        <is>
          <t>Equity</t>
        </is>
      </c>
      <c r="B28" s="88">
        <f>B20/B24</f>
        <v/>
      </c>
      <c r="C28" s="88">
        <f>B10</f>
        <v/>
      </c>
      <c r="D28" s="88">
        <f>B28*B10</f>
        <v/>
      </c>
      <c r="E28" s="10" t="n"/>
    </row>
    <row r="29" ht="17" customHeight="1">
      <c r="A29" s="51" t="inlineStr">
        <is>
          <t>Debt</t>
        </is>
      </c>
      <c r="B29" s="88">
        <f>B23/B24</f>
        <v/>
      </c>
      <c r="C29" s="88">
        <f>B15</f>
        <v/>
      </c>
      <c r="D29" s="88">
        <f>B29*B15</f>
        <v/>
      </c>
      <c r="E29" s="10" t="n"/>
    </row>
    <row r="30" ht="22" customHeight="1">
      <c r="A30" s="89" t="inlineStr">
        <is>
          <t>WACC</t>
        </is>
      </c>
      <c r="B30" s="90">
        <f>B28+B29</f>
        <v/>
      </c>
      <c r="C30" s="82" t="n"/>
      <c r="D30" s="81" t="inlineStr">
        <is>
          <t>≈ 7.40% — net cash position reduces leverage impact</t>
        </is>
      </c>
      <c r="E30" s="20" t="n"/>
    </row>
    <row r="31" ht="8" customHeight="1"/>
    <row r="32">
      <c r="A32" s="6" t="inlineStr">
        <is>
          <t>NOTES</t>
        </is>
      </c>
    </row>
    <row r="33" ht="15" customHeight="1">
      <c r="A33" s="2" t="inlineStr">
        <is>
          <t>• Costco is effectively a net-cash company ($11.1B cash &gt; $10.0B debt), so WACC ≈ Cost of Equity</t>
        </is>
      </c>
    </row>
    <row r="34" ht="15" customHeight="1">
      <c r="A34" s="2" t="inlineStr">
        <is>
          <t>• Morningstar estimates Costco WACC at 7.4% (moat report, Dec 2025)</t>
        </is>
      </c>
    </row>
    <row r="35" ht="15" customHeight="1">
      <c r="A35" s="2" t="inlineStr">
        <is>
          <t>• Strong cash generation and low leverage result in minimal debt adjustment to WACC</t>
        </is>
      </c>
    </row>
    <row r="36" ht="15" customHeight="1">
      <c r="A36" s="2" t="inlineStr">
        <is>
          <t>• CAPM Cost of Equity = 4.30% + 0.91 × 5.50% = 9.31%</t>
        </is>
      </c>
    </row>
    <row r="37" ht="15" customHeight="1">
      <c r="A37" s="2" t="inlineStr">
        <is>
          <t>• Using WACC = 7.4% per Morningstar consensus as the primary discount rate</t>
        </is>
      </c>
    </row>
  </sheetData>
  <mergeCells count="25">
    <mergeCell ref="A34:E34"/>
    <mergeCell ref="C22:E22"/>
    <mergeCell ref="C9:E9"/>
    <mergeCell ref="A1:E1"/>
    <mergeCell ref="A36:E36"/>
    <mergeCell ref="C21:E21"/>
    <mergeCell ref="C8:E8"/>
    <mergeCell ref="A37:E37"/>
    <mergeCell ref="C7:E7"/>
    <mergeCell ref="A12:E12"/>
    <mergeCell ref="A26:E26"/>
    <mergeCell ref="C13:E13"/>
    <mergeCell ref="A2:E2"/>
    <mergeCell ref="C19:E19"/>
    <mergeCell ref="A33:E33"/>
    <mergeCell ref="C18:E18"/>
    <mergeCell ref="A5:E5"/>
    <mergeCell ref="A32:E32"/>
    <mergeCell ref="A17:E17"/>
    <mergeCell ref="C15:E15"/>
    <mergeCell ref="A35:E35"/>
    <mergeCell ref="A4:E4"/>
    <mergeCell ref="C14:E14"/>
    <mergeCell ref="D30:E30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2026-05-22T00:05:18Z</dcterms:created>
  <dcterms:modified xsi:type="dcterms:W3CDTF">2026-05-22T00:05:18Z</dcterms:modified>
</cp:coreProperties>
</file>